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00147042/Downloads/"/>
    </mc:Choice>
  </mc:AlternateContent>
  <xr:revisionPtr revIDLastSave="0" documentId="13_ncr:1_{40ABDE9D-26E5-354B-B861-B323A1E19013}" xr6:coauthVersionLast="47" xr6:coauthVersionMax="47" xr10:uidLastSave="{00000000-0000-0000-0000-000000000000}"/>
  <bookViews>
    <workbookView xWindow="0" yWindow="660" windowWidth="30240" windowHeight="17740" xr2:uid="{00000000-000D-0000-FFFF-FFFF00000000}"/>
  </bookViews>
  <sheets>
    <sheet name="Mall Inventory" sheetId="1" r:id="rId1"/>
    <sheet name="Summary" sheetId="2" r:id="rId2"/>
    <sheet name="Area Alia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6" i="2"/>
  <c r="B5" i="2"/>
</calcChain>
</file>

<file path=xl/sharedStrings.xml><?xml version="1.0" encoding="utf-8"?>
<sst xmlns="http://schemas.openxmlformats.org/spreadsheetml/2006/main" count="856" uniqueCount="455">
  <si>
    <t>Mall ID</t>
  </si>
  <si>
    <t>Mall Name</t>
  </si>
  <si>
    <t>Primary Area</t>
  </si>
  <si>
    <t>Search Aliases</t>
  </si>
  <si>
    <t>Status</t>
  </si>
  <si>
    <t>Mall Type</t>
  </si>
  <si>
    <t>Parking Data Status</t>
  </si>
  <si>
    <t>Parking Source URL</t>
  </si>
  <si>
    <t>Mall Verification Source</t>
  </si>
  <si>
    <t>Notes</t>
  </si>
  <si>
    <t>KL001</t>
  </si>
  <si>
    <t>Great Eastern Mall</t>
  </si>
  <si>
    <t>Jalan Ampang</t>
  </si>
  <si>
    <t>Ampang; Great Eastern Mall; Jalan Ampang</t>
  </si>
  <si>
    <t>Operating</t>
  </si>
  <si>
    <t>Shopping mall</t>
  </si>
  <si>
    <t>Not collected</t>
  </si>
  <si>
    <t>https://en.wikipedia.org/wiki/List_of_shopping_malls_in_Malaysia</t>
  </si>
  <si>
    <t>Within Kuala Lumpur boundary</t>
  </si>
  <si>
    <t>KL002</t>
  </si>
  <si>
    <t>Bangsar Shopping Centre</t>
  </si>
  <si>
    <t>Bangsar</t>
  </si>
  <si>
    <t>BSC; Bangsar; Jalan Maarof; Bukit Bandaraya</t>
  </si>
  <si>
    <t>KL003</t>
  </si>
  <si>
    <t>Bangsar Village I</t>
  </si>
  <si>
    <t>Bangsar Village; BV1; Telawi; Bangsar Baru</t>
  </si>
  <si>
    <t>Separate parking entry may need confirmation</t>
  </si>
  <si>
    <t>KL004</t>
  </si>
  <si>
    <t>Bangsar Village II</t>
  </si>
  <si>
    <t>Bangsar Village; BV2; Telawi; Bangsar Baru</t>
  </si>
  <si>
    <t>KL005</t>
  </si>
  <si>
    <t>NU Sentral</t>
  </si>
  <si>
    <t>KL Sentral</t>
  </si>
  <si>
    <t>NU Sentral; Brickfields; KL Sentral; Sentral</t>
  </si>
  <si>
    <t>KL006</t>
  </si>
  <si>
    <t>Pavilion Kuala Lumpur</t>
  </si>
  <si>
    <t>Bukit Bintang</t>
  </si>
  <si>
    <t>Pavilion KL; Pavilion Kuala Lumpur; Bukit Bintang; Jalan Bukit Bintang</t>
  </si>
  <si>
    <t>ParkMana comparison anchor</t>
  </si>
  <si>
    <t>KL007</t>
  </si>
  <si>
    <t>Lot 10</t>
  </si>
  <si>
    <t>Lot 10; Bukit Bintang; Jalan Sultan Ismail</t>
  </si>
  <si>
    <t>ParkMana comparison candidate</t>
  </si>
  <si>
    <t>KL008</t>
  </si>
  <si>
    <t>Fahrenheit88</t>
  </si>
  <si>
    <t>Fahrenheit 88; Fahrenheit88; Bukit Bintang; Jalan Bukit Bintang</t>
  </si>
  <si>
    <t>KL009</t>
  </si>
  <si>
    <t>The Starhill</t>
  </si>
  <si>
    <t>Starhill; Starhill Gallery; The Starhill; Bukit Bintang</t>
  </si>
  <si>
    <t>Luxury retail mall</t>
  </si>
  <si>
    <t>KL010</t>
  </si>
  <si>
    <t>Sungei Wang Plaza</t>
  </si>
  <si>
    <t>Sungei Wang; Sungei Wang Plaza; Bukit Bintang; Jalan Sultan Ismail</t>
  </si>
  <si>
    <t>KL011</t>
  </si>
  <si>
    <t>Plaza Low Yat</t>
  </si>
  <si>
    <t>Low Yat; Lowyat; Plaza Low Yat; Bukit Bintang; Imbi</t>
  </si>
  <si>
    <t>Technology mall</t>
  </si>
  <si>
    <t>KL012</t>
  </si>
  <si>
    <t>Imbi Plaza</t>
  </si>
  <si>
    <t>Imbi</t>
  </si>
  <si>
    <t>Imbi Plaza; Imbi; Bukit Bintang; Jalan Imbi</t>
  </si>
  <si>
    <t>Operating - verify</t>
  </si>
  <si>
    <t>Current operating condition needs verification</t>
  </si>
  <si>
    <t>KL013</t>
  </si>
  <si>
    <t>Berjaya Times Square</t>
  </si>
  <si>
    <t>Times Square; Berjaya Times Square; Imbi; Bukit Bintang; Jalan Imbi</t>
  </si>
  <si>
    <t>KL014</t>
  </si>
  <si>
    <t>GMBB</t>
  </si>
  <si>
    <t>GMBB; Bukit Bintang; Imbi; Pudu; Jalan Robertson</t>
  </si>
  <si>
    <t>Creative community mall</t>
  </si>
  <si>
    <t>KL015</t>
  </si>
  <si>
    <t>The Exchange TRX</t>
  </si>
  <si>
    <t>TRX</t>
  </si>
  <si>
    <t>Exchange TRX; The Exchange; TRX; Tun Razak Exchange; Bukit Bintang</t>
  </si>
  <si>
    <t>KL016</t>
  </si>
  <si>
    <t>LaLaport Bukit Bintang City Centre</t>
  </si>
  <si>
    <t>BBCC / Hang Tuah</t>
  </si>
  <si>
    <t>LaLaport; Lalaport BBCC; BBCC; Hang Tuah; Imbi; Bukit Bintang City Centre</t>
  </si>
  <si>
    <t>Use BBCC/Hang Tuah/Imbi aliases</t>
  </si>
  <si>
    <t>KL017</t>
  </si>
  <si>
    <t>118 Mall</t>
  </si>
  <si>
    <t>Merdeka 118 / Hang Jebat</t>
  </si>
  <si>
    <t>118 Mall; Merdeka 118; Warisan Merdeka; Hang Jebat; Merdeka MRT</t>
  </si>
  <si>
    <t>Upcoming</t>
  </si>
  <si>
    <t>Not applicable yet</t>
  </si>
  <si>
    <t>Opening reported for November 2026; recheck before activation</t>
  </si>
  <si>
    <t>KL018</t>
  </si>
  <si>
    <t>Aurora Place Mall</t>
  </si>
  <si>
    <t>Bukit Jalil</t>
  </si>
  <si>
    <t>Aurora Place; Bukit Jalil; Awan Besar</t>
  </si>
  <si>
    <t>KL019</t>
  </si>
  <si>
    <t>Pavilion Bukit Jalil</t>
  </si>
  <si>
    <t>Pavilion BJ; Pavilion 2; Bukit Jalil City; Bukit Jalil</t>
  </si>
  <si>
    <t>KL020</t>
  </si>
  <si>
    <t>1 Shamelin Mall</t>
  </si>
  <si>
    <t>Cheras / Shamelin</t>
  </si>
  <si>
    <t>1 Shamelin; One Shamelin; Shamelin; Cheras</t>
  </si>
  <si>
    <t>KL021</t>
  </si>
  <si>
    <t>AEON Taman Maluri Shopping Centre</t>
  </si>
  <si>
    <t>Maluri</t>
  </si>
  <si>
    <t>AEON Maluri; Jaya Jusco Maluri; Taman Maluri; Cheras</t>
  </si>
  <si>
    <t>KL022</t>
  </si>
  <si>
    <t>Cheras LeisureMall</t>
  </si>
  <si>
    <t>Taman Segar / Cheras</t>
  </si>
  <si>
    <t>Cheras Leisure Mall; LeisureMall; Taman Segar; Cheras</t>
  </si>
  <si>
    <t>KL023</t>
  </si>
  <si>
    <t>Cheras Sentral Mall</t>
  </si>
  <si>
    <t>Cheras / Taman Connaught</t>
  </si>
  <si>
    <t>Cheras Sentral; Plaza Phoenix; Taman Connaught; Cheras</t>
  </si>
  <si>
    <t>Formerly Plaza Phoenix; current activity needs verification</t>
  </si>
  <si>
    <t>KL024</t>
  </si>
  <si>
    <t>EkoCheras Mall</t>
  </si>
  <si>
    <t>Cheras / Taman Mutiara Barat</t>
  </si>
  <si>
    <t>EkoCheras; Eko Cheras; Taman Mutiara; Cheras</t>
  </si>
  <si>
    <t>KL025</t>
  </si>
  <si>
    <t>Ikon Connaught</t>
  </si>
  <si>
    <t>Taman Connaught</t>
  </si>
  <si>
    <t>IKON Connaught; Taman Connaught; Cheras</t>
  </si>
  <si>
    <t>KL026</t>
  </si>
  <si>
    <t>MyTOWN Shopping Centre</t>
  </si>
  <si>
    <t>Cochrane</t>
  </si>
  <si>
    <t>MyTOWN; My Town; Cochrane; IKEA Cheras; Maluri</t>
  </si>
  <si>
    <t>Parking may be shared/connected with IKEA Cheras</t>
  </si>
  <si>
    <t>KL027</t>
  </si>
  <si>
    <t>Sunway Velocity Mall</t>
  </si>
  <si>
    <t>Maluri / Cochrane</t>
  </si>
  <si>
    <t>Sunway Velocity; Velocity Mall; Maluri; Cochrane; Cheras</t>
  </si>
  <si>
    <t>KL028</t>
  </si>
  <si>
    <t>City One Plaza</t>
  </si>
  <si>
    <t>Jalan Munshi Abdullah / Chow Kit</t>
  </si>
  <si>
    <t>City One Plaza; City One; Chow Kit; Jalan TAR; Jalan Munshi Abdullah</t>
  </si>
  <si>
    <t>Shopping complex</t>
  </si>
  <si>
    <t>KL029</t>
  </si>
  <si>
    <t>Pertama Complex</t>
  </si>
  <si>
    <t>Jalan Tuanku Abdul Rahman</t>
  </si>
  <si>
    <t>Pertama Complex; Jalan TAR; Chow Kit; SOGO area</t>
  </si>
  <si>
    <t>KL030</t>
  </si>
  <si>
    <t>Plaza GM Kuala Lumpur</t>
  </si>
  <si>
    <t>Chow Kit</t>
  </si>
  <si>
    <t>Plaza GM; GM Plaza; Chow Kit; Jalan Tuanku Abdul Rahman</t>
  </si>
  <si>
    <t>Wholesale mall</t>
  </si>
  <si>
    <t>KL031</t>
  </si>
  <si>
    <t>Quill City Mall</t>
  </si>
  <si>
    <t>Medan Tuanku</t>
  </si>
  <si>
    <t>Quill City; Medan Tuanku; Jalan Sultan Ismail; Chow Kit</t>
  </si>
  <si>
    <t>KL032</t>
  </si>
  <si>
    <t>SOGO Kuala Lumpur</t>
  </si>
  <si>
    <t>SOGO KL; Sogo Kuala Lumpur; Jalan TAR; Chow Kit</t>
  </si>
  <si>
    <t>Department store / mall</t>
  </si>
  <si>
    <t>KL033</t>
  </si>
  <si>
    <t>Sunway Putra Mall</t>
  </si>
  <si>
    <t>PWTC / Chow Kit</t>
  </si>
  <si>
    <t>Sunway Putra; The Mall; PWTC; WTC KL; Chow Kit</t>
  </si>
  <si>
    <t>Formerly The Mall</t>
  </si>
  <si>
    <t>KL034</t>
  </si>
  <si>
    <t>Avenue K Shopping Mall</t>
  </si>
  <si>
    <t>KLCC / Jalan Ampang</t>
  </si>
  <si>
    <t>Avenue K; AK; KLCC; Jalan Ampang</t>
  </si>
  <si>
    <t>ParkMana KLCC comparison candidate</t>
  </si>
  <si>
    <t>KL035</t>
  </si>
  <si>
    <t>Intermark Mall</t>
  </si>
  <si>
    <t>Jalan Tun Razak / KLCC</t>
  </si>
  <si>
    <t>Intermark; The Intermark; Jalan Tun Razak; KLCC; Ampang Park</t>
  </si>
  <si>
    <t>KL036</t>
  </si>
  <si>
    <t>The LINC KL</t>
  </si>
  <si>
    <t>The LINC; LINC KL; Jalan Tun Razak; KLCC; Ampang Park</t>
  </si>
  <si>
    <t>Lifestyle mall</t>
  </si>
  <si>
    <t>KL037</t>
  </si>
  <si>
    <t>Ombak KLCC</t>
  </si>
  <si>
    <t>KLCC</t>
  </si>
  <si>
    <t>Ombak KLCC; KLCC; Jalan P. Ramlee</t>
  </si>
  <si>
    <t>Recently opened - verify</t>
  </si>
  <si>
    <t>Lifestyle / F&amp;B mall</t>
  </si>
  <si>
    <t>Opening reported 21 August 2026; verify public access and parking</t>
  </si>
  <si>
    <t>KL038</t>
  </si>
  <si>
    <t>Shoppes at Four Seasons Place</t>
  </si>
  <si>
    <t>Four Seasons Shoppes; Shoppes at Four Seasons; KLCC; Jalan Ampang</t>
  </si>
  <si>
    <t>May share parking arrangement with Four Seasons Place</t>
  </si>
  <si>
    <t>KL039</t>
  </si>
  <si>
    <t>Suria KLCC</t>
  </si>
  <si>
    <t>Suria; Suria KLCC; KLCC; Petronas Twin Towers</t>
  </si>
  <si>
    <t>ParkMana KLCC comparison anchor</t>
  </si>
  <si>
    <t>KL040</t>
  </si>
  <si>
    <t>Damansara City Mall</t>
  </si>
  <si>
    <t>Damansara Heights</t>
  </si>
  <si>
    <t>DC Mall; Damansara City; Pusat Bandar Damansara; Damansara Heights</t>
  </si>
  <si>
    <t>KL041</t>
  </si>
  <si>
    <t>Pavilion Damansara Heights</t>
  </si>
  <si>
    <t>Pavilion DH; Pavilion 3; Pusat Bandar Damansara; Damansara Heights</t>
  </si>
  <si>
    <t>KL042</t>
  </si>
  <si>
    <t>Campbell Shopping Complex</t>
  </si>
  <si>
    <t>Dang Wangi / Jalan TAR</t>
  </si>
  <si>
    <t>Campbell Complex; Campbell Shopping Complex; Dang Wangi; Jalan TAR</t>
  </si>
  <si>
    <t>Legacy complex; current activity needs verification</t>
  </si>
  <si>
    <t>KL043</t>
  </si>
  <si>
    <t>Wilayah Complex</t>
  </si>
  <si>
    <t>Dang Wangi / Jalan Munshi Abdullah</t>
  </si>
  <si>
    <t>Kompleks Wilayah; Wilayah Complex; Dang Wangi; Jalan TAR</t>
  </si>
  <si>
    <t>KL044</t>
  </si>
  <si>
    <t>Mutiara Complex</t>
  </si>
  <si>
    <t>Jalan Ipoh</t>
  </si>
  <si>
    <t>Kompleks Mutiara; Mutiara Complex; Jalan Ipoh</t>
  </si>
  <si>
    <t>KL045</t>
  </si>
  <si>
    <t>Sungai Mas Plaza</t>
  </si>
  <si>
    <t>Sungai Mas Plaza; Jalan Ipoh; Sentul</t>
  </si>
  <si>
    <t>Community mall</t>
  </si>
  <si>
    <t>KL046</t>
  </si>
  <si>
    <t>Bloomsvale Shopping Gallery</t>
  </si>
  <si>
    <t>Old Klang Road</t>
  </si>
  <si>
    <t>Bloomsvale; Bloomsvale Shopping Gallery; Jalan Klang Lama; OKR</t>
  </si>
  <si>
    <t>Retail gallery</t>
  </si>
  <si>
    <t>KL047</t>
  </si>
  <si>
    <t>Pearl Point Shopping Mall</t>
  </si>
  <si>
    <t>Pearl Point; Pearl Mall; Jalan Klang Lama; OKR</t>
  </si>
  <si>
    <t>Confirm whether parking is shared with Pearl Shopping Gallery</t>
  </si>
  <si>
    <t>KL048</t>
  </si>
  <si>
    <t>Pearl Shopping Gallery</t>
  </si>
  <si>
    <t>Pearl Shopping Gallery; Pearl Point; Jalan Klang Lama; OKR</t>
  </si>
  <si>
    <t>Shopping gallery</t>
  </si>
  <si>
    <t>Confirm whether parking is shared with Pearl Point</t>
  </si>
  <si>
    <t>KL049</t>
  </si>
  <si>
    <t>The Scott Garden</t>
  </si>
  <si>
    <t>Scott Garden; The Scott Garden; Jalan Klang Lama; OKR</t>
  </si>
  <si>
    <t>Retail mall</t>
  </si>
  <si>
    <t>KL050</t>
  </si>
  <si>
    <t>AEON Mall Metro Prima</t>
  </si>
  <si>
    <t>Kepong</t>
  </si>
  <si>
    <t>AEON Metro Prima; Jusco Metro Prima; Kepong; Metro Prima</t>
  </si>
  <si>
    <t>KL051</t>
  </si>
  <si>
    <t>Brem Mall</t>
  </si>
  <si>
    <t>Brem Mall; Kepong; Jinjang</t>
  </si>
  <si>
    <t>KL052</t>
  </si>
  <si>
    <t>Kompleks Desa</t>
  </si>
  <si>
    <t>Kompleks Desa; Kepong; Taman Kepong</t>
  </si>
  <si>
    <t>KL053</t>
  </si>
  <si>
    <t>Plaza Arkadia</t>
  </si>
  <si>
    <t>Desa ParkCity / Kepong</t>
  </si>
  <si>
    <t>Plaza Arkadia; Arkadia; Desa ParkCity; Kepong; Bandar Manjalara</t>
  </si>
  <si>
    <t>Lifestyle retail mall</t>
  </si>
  <si>
    <t>KL054</t>
  </si>
  <si>
    <t>Met Galleria</t>
  </si>
  <si>
    <t>KL Metropolis / Dutamas</t>
  </si>
  <si>
    <t>Met Galleria; MET 1; KL Metropolis; Dutamas; MITEC</t>
  </si>
  <si>
    <t>KL055</t>
  </si>
  <si>
    <t>KL Metropolis Lifestyle Mall</t>
  </si>
  <si>
    <t>KL Metropolis Mall; KL Metropolis; Dutamas; MITEC</t>
  </si>
  <si>
    <t>Do not activate until officially open</t>
  </si>
  <si>
    <t>KL056</t>
  </si>
  <si>
    <t>KL Midtown</t>
  </si>
  <si>
    <t>KL Midtown; KL Metropolis; Dutamas; MITEC</t>
  </si>
  <si>
    <t>Mixed-use retail</t>
  </si>
  <si>
    <t>KL057</t>
  </si>
  <si>
    <t>Mid Valley Megamall</t>
  </si>
  <si>
    <t>Mid Valley City</t>
  </si>
  <si>
    <t>Mid Valley; Midvalley; Mid Valley Megamall; Lingkaran Syed Putra</t>
  </si>
  <si>
    <t>Partial</t>
  </si>
  <si>
    <t>Existing ParkMana sample; rate requires current reverification</t>
  </si>
  <si>
    <t>KL058</t>
  </si>
  <si>
    <t>The Gardens Mall</t>
  </si>
  <si>
    <t>The Gardens; Gardens Mall; Mid Valley City; Lingkaran Syed Putra</t>
  </si>
  <si>
    <t>Confirm shared/connected parking zones with Mid Valley</t>
  </si>
  <si>
    <t>KL059</t>
  </si>
  <si>
    <t>INC KLEC Mall</t>
  </si>
  <si>
    <t>KL Eco City / Bangsar South</t>
  </si>
  <si>
    <t>INC KLEC; KLEC; KL Eco City; Abdullah Hukum; Bangsar South</t>
  </si>
  <si>
    <t>Name/status may need official confirmation</t>
  </si>
  <si>
    <t>KL060</t>
  </si>
  <si>
    <t>KL Gateway Mall</t>
  </si>
  <si>
    <t>Bangsar South / Kerinchi</t>
  </si>
  <si>
    <t>KL Gateway; Kerinchi; University LRT; Bangsar South; Pantai Dalam</t>
  </si>
  <si>
    <t>KL061</t>
  </si>
  <si>
    <t>Nexus Bangsar South</t>
  </si>
  <si>
    <t>Nexus; Nexus Bangsar South; Bangsar South; Kerinchi</t>
  </si>
  <si>
    <t>KL062</t>
  </si>
  <si>
    <t>The Sphere</t>
  </si>
  <si>
    <t>The Sphere; Sphere Bangsar South; Bangsar South; Kerinchi</t>
  </si>
  <si>
    <t>KL063</t>
  </si>
  <si>
    <t>Pudu Plaza</t>
  </si>
  <si>
    <t>Pudu</t>
  </si>
  <si>
    <t>Pudu Plaza; Pudu; Jalan Landak</t>
  </si>
  <si>
    <t>KL064</t>
  </si>
  <si>
    <t>Pudu Sentral</t>
  </si>
  <si>
    <t>Pudu / Chinatown</t>
  </si>
  <si>
    <t>Pudu Sentral; Puduraya; UTC Pudu; Pudu; Chinatown</t>
  </si>
  <si>
    <t>Transport retail complex</t>
  </si>
  <si>
    <t>Transport hub rather than conventional mall</t>
  </si>
  <si>
    <t>KL065</t>
  </si>
  <si>
    <t>KWC Fashion Wholesale Mall</t>
  </si>
  <si>
    <t>Pudu / Hang Tuah</t>
  </si>
  <si>
    <t>KWC; Kenanga Wholesale City; Pudu; Hang Tuah; Kenanga</t>
  </si>
  <si>
    <t>KL066</t>
  </si>
  <si>
    <t>Shaw Parade</t>
  </si>
  <si>
    <t>Pudu / Changkat Thambi Dollah</t>
  </si>
  <si>
    <t>Shaw Parade; Pudu; Bukit Bintang; Changkat Thambi Dollah</t>
  </si>
  <si>
    <t>Current activity/status needs verification</t>
  </si>
  <si>
    <t>KL067</t>
  </si>
  <si>
    <t>Metromall</t>
  </si>
  <si>
    <t>Metromall; Metro Mall; Pudu</t>
  </si>
  <si>
    <t>Needs verification</t>
  </si>
  <si>
    <t>Identity and operating status need confirmation</t>
  </si>
  <si>
    <t>KL068</t>
  </si>
  <si>
    <t>Plaza Salak Park</t>
  </si>
  <si>
    <t>Salak South</t>
  </si>
  <si>
    <t>Plaza Salak Park; Salak South; Bandar Sri Permaisuri</t>
  </si>
  <si>
    <t>KL069</t>
  </si>
  <si>
    <t>1 Mont Kiara</t>
  </si>
  <si>
    <t>Mont Kiara</t>
  </si>
  <si>
    <t>1 Mont Kiara; One Mont Kiara; Mont Kiara</t>
  </si>
  <si>
    <t>KL070</t>
  </si>
  <si>
    <t>D'Immersione Avenue</t>
  </si>
  <si>
    <t>Mont Kiara / Dutamas</t>
  </si>
  <si>
    <t>D Immersione; D'Immersione Avenue; Mont Kiara; Dutamas</t>
  </si>
  <si>
    <t>KL071</t>
  </si>
  <si>
    <t>Hartamas Shopping Centre</t>
  </si>
  <si>
    <t>Sri Hartamas</t>
  </si>
  <si>
    <t>Hartamas Shopping Centre; HSC; Sri Hartamas; Mont Kiara</t>
  </si>
  <si>
    <t>KL072</t>
  </si>
  <si>
    <t>KLGCC Mall</t>
  </si>
  <si>
    <t>Bukit Kiara</t>
  </si>
  <si>
    <t>KLGCC Mall; KLGCC; Bukit Kiara; Mont Kiara</t>
  </si>
  <si>
    <t>KL073</t>
  </si>
  <si>
    <t>Plaza Mont Kiara</t>
  </si>
  <si>
    <t>Plaza Mont Kiara; Mont Kiara</t>
  </si>
  <si>
    <t>Retail complex</t>
  </si>
  <si>
    <t>KL074</t>
  </si>
  <si>
    <t>Publika Shopping Gallery</t>
  </si>
  <si>
    <t>Solaris Dutamas</t>
  </si>
  <si>
    <t>Publika; Publika Shopping Gallery; Solaris Dutamas; Dutamas; Mont Kiara</t>
  </si>
  <si>
    <t>KL075</t>
  </si>
  <si>
    <t>Solaris Parq The Mall</t>
  </si>
  <si>
    <t>Solaris Parq; Solaris Dutamas; Dutamas; Mont Kiara</t>
  </si>
  <si>
    <t>KL076</t>
  </si>
  <si>
    <t>Sunway 163 Mall</t>
  </si>
  <si>
    <t>163 Retail Park; 163 Mall; Sunway 163; Mont Kiara</t>
  </si>
  <si>
    <t>Formerly commonly called 163 Retail Park</t>
  </si>
  <si>
    <t>KL077</t>
  </si>
  <si>
    <t>United Point</t>
  </si>
  <si>
    <t>Segambut</t>
  </si>
  <si>
    <t>United Point; Segambut; Taman Segambut</t>
  </si>
  <si>
    <t>KL078</t>
  </si>
  <si>
    <t>SAMA Square</t>
  </si>
  <si>
    <t>Setapak</t>
  </si>
  <si>
    <t>SAMA Square; Setapak; Jalan Genting Klang</t>
  </si>
  <si>
    <t>KL079</t>
  </si>
  <si>
    <t>Setapak Central</t>
  </si>
  <si>
    <t>Setapak Central; Festival City Mall; KL Festival City; Jalan Genting Klang</t>
  </si>
  <si>
    <t>Formerly KL Festival City Mall</t>
  </si>
  <si>
    <t>KL080</t>
  </si>
  <si>
    <t>AEON AU2 Shopping Centre</t>
  </si>
  <si>
    <t>Setiawangsa / Keramat</t>
  </si>
  <si>
    <t>AEON AU2; Jusco AU2; Setiawangsa; Taman Keramat; AU2</t>
  </si>
  <si>
    <t>KL081</t>
  </si>
  <si>
    <t>Datum Jelatek Mall</t>
  </si>
  <si>
    <t>Jelatek / Setiawangsa</t>
  </si>
  <si>
    <t>Datum Jelatek; Jelatek Mall; Setiawangsa; Keramat; Jelatek</t>
  </si>
  <si>
    <t>KL082</t>
  </si>
  <si>
    <t>Endah Parade</t>
  </si>
  <si>
    <t>Sri Petaling / Bukit Jalil</t>
  </si>
  <si>
    <t>Endah Parade; Sri Petaling; Bukit Jalil</t>
  </si>
  <si>
    <t>KL083</t>
  </si>
  <si>
    <t>Pinnacle Sri Petaling Mall</t>
  </si>
  <si>
    <t>Sri Petaling</t>
  </si>
  <si>
    <t>Pinnacle; Pinnacle Sri Petaling; Sri Petaling</t>
  </si>
  <si>
    <t>KL084</t>
  </si>
  <si>
    <t>KL East Mall</t>
  </si>
  <si>
    <t>Taman Melati / Gombak</t>
  </si>
  <si>
    <t>KL East Mall; KL Timur; Taman Melati; Gombak; Melati</t>
  </si>
  <si>
    <t>KL085</t>
  </si>
  <si>
    <t>M3 Shopping Mall</t>
  </si>
  <si>
    <t>M3 Mall; M3 Shopping Mall; Taman Melati; Gombak</t>
  </si>
  <si>
    <t>KL086</t>
  </si>
  <si>
    <t>Melawati Mall</t>
  </si>
  <si>
    <t>Taman Melawati</t>
  </si>
  <si>
    <t>Melawati Mall; Taman Melawati; Wangsa Maju</t>
  </si>
  <si>
    <t>Operating - boundary check</t>
  </si>
  <si>
    <t>Near KL/Selangor boundary; confirm jurisdiction before inclusion</t>
  </si>
  <si>
    <t>KL087</t>
  </si>
  <si>
    <t>Glo Damansara</t>
  </si>
  <si>
    <t>Taman Tun Dr Ismail</t>
  </si>
  <si>
    <t>Glo Damansara; Glo Mall; TTDI; Taman Tun</t>
  </si>
  <si>
    <t>KL088</t>
  </si>
  <si>
    <t>AEON Alpha Angle</t>
  </si>
  <si>
    <t>Wangsa Maju</t>
  </si>
  <si>
    <t>Alpha Angle; AEON Alpha Angle; Jusco Alpha Angle; Wangsa Maju</t>
  </si>
  <si>
    <t>KL089</t>
  </si>
  <si>
    <t>AEON BiG Wangsa Maju</t>
  </si>
  <si>
    <t>AEON BiG Wangsa Maju; Carrefour Wangsa Maju; Wangsa Maju</t>
  </si>
  <si>
    <t>Hypermarket retail centre</t>
  </si>
  <si>
    <t>Included because it may have distinct public parking</t>
  </si>
  <si>
    <t>KL090</t>
  </si>
  <si>
    <t>Sunway Wangsa Mall</t>
  </si>
  <si>
    <t>Sunway Wangsa; Wangsa Walk; Wangsa Walk Mall; Wangsa Maju</t>
  </si>
  <si>
    <t>Formerly Wangsa Walk Mall</t>
  </si>
  <si>
    <t>KL091</t>
  </si>
  <si>
    <t>Bazaria Wangsa Maju</t>
  </si>
  <si>
    <t>Bazaria; Bazaria Wangsa Maju; Wangsa Maju</t>
  </si>
  <si>
    <t>Retail centre</t>
  </si>
  <si>
    <t>KL092</t>
  </si>
  <si>
    <t>Central Market Kuala Lumpur</t>
  </si>
  <si>
    <t>Pasar Seni / Chinatown</t>
  </si>
  <si>
    <t>Central Market; Pasar Seni; Chinatown; Kuala Lumpur City Centre</t>
  </si>
  <si>
    <t>Heritage market / retail centre</t>
  </si>
  <si>
    <t>https://www.centralmarket.com.my/</t>
  </si>
  <si>
    <t>Added as a high-traffic retail destination with nearby parking need</t>
  </si>
  <si>
    <t>KL093</t>
  </si>
  <si>
    <t>Kota Raya Shopping Complex</t>
  </si>
  <si>
    <t>Chinatown / Pudu</t>
  </si>
  <si>
    <t>Kota Raya; Kompleks Kota Raya; Chinatown; Petaling Street; Pudu</t>
  </si>
  <si>
    <t>https://en.wikipedia.org/wiki/Kota_Raya_Complex</t>
  </si>
  <si>
    <t>Legacy complex; current operating condition needs verification</t>
  </si>
  <si>
    <t>KL094</t>
  </si>
  <si>
    <t>Plaza Damas</t>
  </si>
  <si>
    <t>Plaza Damas; Sri Hartamas; Hartamas; Mont Kiara</t>
  </si>
  <si>
    <t>Added for parking comparison coverage</t>
  </si>
  <si>
    <t>KL095</t>
  </si>
  <si>
    <t>The Waterfront @ ParkCity</t>
  </si>
  <si>
    <t>Waterfront Desa ParkCity; The Waterfront; Desa ParkCity; Kepong</t>
  </si>
  <si>
    <t>Lifestyle retail centre</t>
  </si>
  <si>
    <t>https://www.desaparkcity.com/the-waterfront/</t>
  </si>
  <si>
    <t>Added as lifestyle retail destination</t>
  </si>
  <si>
    <t>ParkMana — Kuala Lumpur Mall Seed Inventory</t>
  </si>
  <si>
    <t>Metric</t>
  </si>
  <si>
    <t>Value</t>
  </si>
  <si>
    <t>How to use this workbook</t>
  </si>
  <si>
    <t>Mall records</t>
  </si>
  <si>
    <t>1. Filter by Primary Area to define ParkMana comparison zones.
2. Search Aliases power destination matching (for example: BBCC / Hang Tuah / Imbi).
3. Fill Parking Source URL when the rate source is discovered.
4. Change Parking Data Status only after review.
5. Keep upcoming or uncertain malls out of the public calculator until verified.</t>
  </si>
  <si>
    <t>Operating / active candidates</t>
  </si>
  <si>
    <t>Scope note</t>
  </si>
  <si>
    <t>Working inventory v1 for Kuala Lumpur city. It intentionally includes operating malls, smaller retail complexes, recently opened properties, upcoming malls and boundary-check candidates. It excludes clearly permanently closed projects. This is a seed list—not a claim that every row is fully verified. Last researched: 23 August 2026.</t>
  </si>
  <si>
    <t>Comparison Zone</t>
  </si>
  <si>
    <t>Example Malls</t>
  </si>
  <si>
    <t>Destination / Search Aliases</t>
  </si>
  <si>
    <t>Pavilion KL; Lot 10; Fahrenheit88; The Starhill; Sungei Wang</t>
  </si>
  <si>
    <t>Bukit Bintang; Bintang Walk; Jalan Bukit Bintang</t>
  </si>
  <si>
    <t>Berjaya Times Square; Imbi Plaza</t>
  </si>
  <si>
    <t>Imbi; Jalan Imbi; Bukit Bintang</t>
  </si>
  <si>
    <t>LaLaport BBCC</t>
  </si>
  <si>
    <t>BBCC; Hang Tuah; Imbi; Bukit Bintang City Centre</t>
  </si>
  <si>
    <t>TRX; Tun Razak Exchange; Bukit Bintang</t>
  </si>
  <si>
    <t>Suria KLCC; Avenue K; Four Seasons Shoppes</t>
  </si>
  <si>
    <t>KLCC; Jalan Ampang; Petronas Twin Towers</t>
  </si>
  <si>
    <t>Mid Valley Megamall; The Gardens Mall</t>
  </si>
  <si>
    <t>Mid Valley; Midvalley; Lingkaran Syed Putra</t>
  </si>
  <si>
    <t>Sunway Velocity; MyTOWN; AEON Maluri</t>
  </si>
  <si>
    <t>Maluri; Cochrane; Cheras; IKEA Cheras</t>
  </si>
  <si>
    <t>KL Gateway; Nexus; The Sphere</t>
  </si>
  <si>
    <t>Bangsar South; Kerinchi; Pantai Dalam; University LRT</t>
  </si>
  <si>
    <t>Pavilion Damansara Heights; DC Mall</t>
  </si>
  <si>
    <t>Damansara Heights; Pusat Bandar Damansara; PBD</t>
  </si>
  <si>
    <t>1 Mont Kiara; Sunway 163; Publika; Solaris Parq</t>
  </si>
  <si>
    <t>Mont Kiara; Solaris Dutamas; Dutamas; Sri Hartamas</t>
  </si>
  <si>
    <t>Sunway Wangsa; AEON Alpha Angle; Bazaria</t>
  </si>
  <si>
    <t>Wangsa Maju; Wangsa Walk; Alpha Angle</t>
  </si>
  <si>
    <t>Pavilion Bukit Jalil; Aurora Place</t>
  </si>
  <si>
    <t>Bukit Jalil; Bukit Jalil City; Awan Besar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</si>
</sst>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sz val="10"/>
      <color rgb="FF17233F"/>
      <name val="Carlito"/>
    </font>
    <font>
      <b/>
      <sz val="20"/>
      <color rgb="FFFFFFFF"/>
      <name val="Carlito"/>
    </font>
    <font>
      <b/>
      <sz val="11"/>
      <color rgb="FF17233F"/>
      <name val="Carlito"/>
    </font>
    <font>
      <b/>
      <sz val="16"/>
      <color rgb="FF082B67"/>
      <name val="Carlito"/>
    </font>
    <font>
      <sz val="11"/>
      <color rgb="FF44506C"/>
      <name val="Carlito"/>
    </font>
  </fonts>
  <fills count="8">
    <fill>
      <patternFill patternType="none"/>
    </fill>
    <fill>
      <patternFill patternType="gray125"/>
    </fill>
    <fill>
      <patternFill patternType="solid">
        <fgColor rgb="FF082B67"/>
      </patternFill>
    </fill>
    <fill>
      <patternFill patternType="solid">
        <fgColor rgb="FFC83B45"/>
      </patternFill>
    </fill>
    <fill>
      <patternFill patternType="solid">
        <fgColor rgb="FFFFF2B9"/>
      </patternFill>
    </fill>
    <fill>
      <patternFill patternType="solid">
        <fgColor rgb="FFF2C94C"/>
      </patternFill>
    </fill>
    <fill>
      <patternFill patternType="solid">
        <fgColor rgb="FFFFFDF7"/>
      </patternFill>
    </fill>
    <fill>
      <patternFill patternType="solid">
        <fgColor rgb="FFEEF1F7"/>
      </patternFill>
    </fill>
  </fills>
  <borders count="9">
    <border>
      <left/>
      <right/>
      <top/>
      <bottom/>
      <diagonal/>
    </border>
    <border>
      <left style="thin">
        <color rgb="FFD9DDEA"/>
      </left>
      <right/>
      <top style="thin">
        <color rgb="FFD9DDEA"/>
      </top>
      <bottom/>
      <diagonal/>
    </border>
    <border>
      <left/>
      <right/>
      <top style="thin">
        <color rgb="FFD9DDEA"/>
      </top>
      <bottom/>
      <diagonal/>
    </border>
    <border>
      <left/>
      <right style="thin">
        <color rgb="FFD9DDEA"/>
      </right>
      <top style="thin">
        <color rgb="FFD9DDEA"/>
      </top>
      <bottom/>
      <diagonal/>
    </border>
    <border>
      <left style="thin">
        <color rgb="FFD9DDEA"/>
      </left>
      <right/>
      <top/>
      <bottom/>
      <diagonal/>
    </border>
    <border>
      <left/>
      <right style="thin">
        <color rgb="FFD9DDEA"/>
      </right>
      <top/>
      <bottom/>
      <diagonal/>
    </border>
    <border>
      <left style="thin">
        <color rgb="FFD9DDEA"/>
      </left>
      <right/>
      <top/>
      <bottom style="thin">
        <color rgb="FFD9DDEA"/>
      </bottom>
      <diagonal/>
    </border>
    <border>
      <left/>
      <right/>
      <top/>
      <bottom style="thin">
        <color rgb="FFD9DDEA"/>
      </bottom>
      <diagonal/>
    </border>
    <border>
      <left/>
      <right style="thin">
        <color rgb="FFD9DDEA"/>
      </right>
      <top/>
      <bottom style="thin">
        <color rgb="FFD9DDEA"/>
      </bottom>
      <diagonal/>
    </border>
  </borders>
  <cellStyleXfs count="1">
    <xf numFmtId="0" fontId="0" fillId="0" borderId="0"/>
  </cellStyleXfs>
  <cellXfs count="22">
    <xf numFmtId="0" fontId="0" fillId="0" borderId="0" xfId="0"/>
    <xf numFmtId="0" fontId="1" fillId="2" borderId="0" xfId="0" applyFont="1" applyFill="1"/>
    <xf numFmtId="0" fontId="1" fillId="2" borderId="0" xfId="0" applyFont="1" applyFill="1" applyAlignment="1">
      <alignment vertical="center"/>
    </xf>
    <xf numFmtId="0" fontId="2" fillId="0" borderId="0" xfId="0" applyFont="1" applyAlignment="1">
      <alignment vertical="top"/>
    </xf>
    <xf numFmtId="0" fontId="2" fillId="0" borderId="0" xfId="0" applyFont="1" applyAlignment="1">
      <alignment vertical="top" wrapText="1"/>
    </xf>
    <xf numFmtId="0" fontId="1" fillId="3" borderId="0" xfId="0" applyFont="1" applyFill="1"/>
    <xf numFmtId="0" fontId="4" fillId="0" borderId="0" xfId="0" applyFont="1"/>
    <xf numFmtId="0" fontId="5" fillId="4" borderId="0" xfId="0" applyFont="1" applyFill="1" applyAlignment="1">
      <alignment horizontal="center"/>
    </xf>
    <xf numFmtId="0" fontId="0" fillId="0" borderId="0" xfId="0" applyAlignment="1">
      <alignment vertical="top" wrapText="1"/>
    </xf>
    <xf numFmtId="0" fontId="3" fillId="2" borderId="0" xfId="0" applyFont="1" applyFill="1" applyAlignment="1">
      <alignment vertical="center"/>
    </xf>
    <xf numFmtId="0" fontId="4" fillId="5" borderId="0" xfId="0" applyFont="1" applyFill="1"/>
    <xf numFmtId="0" fontId="6" fillId="6" borderId="1" xfId="0" applyFont="1" applyFill="1" applyBorder="1" applyAlignment="1">
      <alignment vertical="top" wrapText="1"/>
    </xf>
    <xf numFmtId="0" fontId="6" fillId="6" borderId="2" xfId="0" applyFont="1" applyFill="1" applyBorder="1" applyAlignment="1">
      <alignment vertical="top" wrapText="1"/>
    </xf>
    <xf numFmtId="0" fontId="6" fillId="6" borderId="3" xfId="0" applyFont="1" applyFill="1" applyBorder="1" applyAlignment="1">
      <alignment vertical="top" wrapText="1"/>
    </xf>
    <xf numFmtId="0" fontId="6" fillId="6" borderId="4" xfId="0" applyFont="1" applyFill="1" applyBorder="1" applyAlignment="1">
      <alignment vertical="top" wrapText="1"/>
    </xf>
    <xf numFmtId="0" fontId="6" fillId="6" borderId="0" xfId="0" applyFont="1" applyFill="1" applyAlignment="1">
      <alignment vertical="top" wrapText="1"/>
    </xf>
    <xf numFmtId="0" fontId="6" fillId="6" borderId="5" xfId="0" applyFont="1" applyFill="1" applyBorder="1" applyAlignment="1">
      <alignment vertical="top" wrapText="1"/>
    </xf>
    <xf numFmtId="0" fontId="6" fillId="6" borderId="6" xfId="0" applyFont="1" applyFill="1" applyBorder="1" applyAlignment="1">
      <alignment vertical="top" wrapText="1"/>
    </xf>
    <xf numFmtId="0" fontId="6" fillId="6" borderId="7" xfId="0" applyFont="1" applyFill="1" applyBorder="1" applyAlignment="1">
      <alignment vertical="top" wrapText="1"/>
    </xf>
    <xf numFmtId="0" fontId="6" fillId="6" borderId="8" xfId="0" applyFont="1" applyFill="1" applyBorder="1" applyAlignment="1">
      <alignment vertical="top" wrapText="1"/>
    </xf>
    <xf numFmtId="0" fontId="1" fillId="2" borderId="0" xfId="0" applyFont="1" applyFill="1"/>
    <xf numFmtId="0" fontId="6" fillId="7" borderId="0" xfId="0" applyFont="1" applyFill="1" applyAlignment="1">
      <alignment vertical="top" wrapText="1"/>
    </xf>
  </cellXfs>
  <cellStyles count="1">
    <cellStyle name="Normal" xfId="0" builtinId="0"/>
  </cellStyles>
  <dxfs count="3">
    <dxf>
      <font>
        <color rgb="FF59627A"/>
      </font>
      <fill>
        <patternFill patternType="solid">
          <bgColor rgb="FFEEF1F7"/>
        </patternFill>
      </fill>
    </dxf>
    <dxf>
      <font>
        <color rgb="FFA52E38"/>
      </font>
      <fill>
        <patternFill patternType="solid">
          <bgColor rgb="FFFBE7E9"/>
        </patternFill>
      </fill>
    </dxf>
    <dxf>
      <font>
        <b/>
        <color rgb="FF7A5700"/>
      </font>
      <fill>
        <patternFill patternType="solid">
          <bgColor rgb="FFFFF2B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LMallInventory" displayName="KLMallInventory" ref="A1:J96" totalsRowShown="0">
  <autoFilter ref="A1:J96" xr:uid="{00000000-0009-0000-0100-000001000000}"/>
  <tableColumns count="10">
    <tableColumn id="1" xr3:uid="{00000000-0010-0000-0000-000001000000}" name="Mall ID"/>
    <tableColumn id="2" xr3:uid="{00000000-0010-0000-0000-000002000000}" name="Mall Name"/>
    <tableColumn id="3" xr3:uid="{00000000-0010-0000-0000-000003000000}" name="Primary Area"/>
    <tableColumn id="4" xr3:uid="{00000000-0010-0000-0000-000004000000}" name="Search Aliases"/>
    <tableColumn id="5" xr3:uid="{00000000-0010-0000-0000-000005000000}" name="Status"/>
    <tableColumn id="6" xr3:uid="{00000000-0010-0000-0000-000006000000}" name="Mall Type"/>
    <tableColumn id="7" xr3:uid="{00000000-0010-0000-0000-000007000000}" name="Parking Data Status"/>
    <tableColumn id="8" xr3:uid="{00000000-0010-0000-0000-000008000000}" name="Parking Source URL"/>
    <tableColumn id="9" xr3:uid="{00000000-0010-0000-0000-000009000000}" name="Mall Verification Source"/>
    <tableColumn id="10" xr3:uid="{00000000-0010-0000-0000-00000A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reaAliasTable" displayName="AreaAliasTable" ref="A1:C13" totalsRowShown="0">
  <tableColumns count="3">
    <tableColumn id="1" xr3:uid="{00000000-0010-0000-0100-000001000000}" name="Comparison Zone"/>
    <tableColumn id="2" xr3:uid="{00000000-0010-0000-0100-000002000000}" name="Example Malls"/>
    <tableColumn id="3" xr3:uid="{00000000-0010-0000-0100-000003000000}" name="Destination / Search Alias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
  <sheetViews>
    <sheetView showGridLines="0" tabSelected="1" workbookViewId="0"/>
  </sheetViews>
  <sheetFormatPr baseColWidth="10" defaultColWidth="8.83203125" defaultRowHeight="14"/>
  <cols>
    <col min="1" max="1" width="11" customWidth="1"/>
    <col min="2" max="2" width="30" customWidth="1"/>
    <col min="3" max="3" width="25" customWidth="1"/>
    <col min="4" max="4" width="48" customWidth="1"/>
    <col min="5" max="5" width="22" customWidth="1"/>
    <col min="6" max="6" width="25" customWidth="1"/>
    <col min="7" max="7" width="22" customWidth="1"/>
    <col min="8" max="8" width="21.1640625" customWidth="1"/>
    <col min="9" max="9" width="42" customWidth="1"/>
    <col min="10" max="10" width="44" customWidth="1"/>
  </cols>
  <sheetData>
    <row r="1" spans="1:10" ht="32" customHeight="1">
      <c r="A1" s="2" t="s">
        <v>0</v>
      </c>
      <c r="B1" s="2" t="s">
        <v>1</v>
      </c>
      <c r="C1" s="2" t="s">
        <v>2</v>
      </c>
      <c r="D1" s="2" t="s">
        <v>3</v>
      </c>
      <c r="E1" s="2" t="s">
        <v>4</v>
      </c>
      <c r="F1" s="2" t="s">
        <v>5</v>
      </c>
      <c r="G1" s="2" t="s">
        <v>6</v>
      </c>
      <c r="H1" s="2" t="s">
        <v>7</v>
      </c>
      <c r="I1" s="2" t="s">
        <v>8</v>
      </c>
      <c r="J1" s="2" t="s">
        <v>9</v>
      </c>
    </row>
    <row r="2" spans="1:10">
      <c r="A2" s="3" t="s">
        <v>10</v>
      </c>
      <c r="B2" s="3" t="s">
        <v>11</v>
      </c>
      <c r="C2" s="3" t="s">
        <v>12</v>
      </c>
      <c r="D2" s="4" t="s">
        <v>13</v>
      </c>
      <c r="E2" s="3" t="s">
        <v>14</v>
      </c>
      <c r="F2" s="3" t="s">
        <v>15</v>
      </c>
      <c r="G2" s="3" t="s">
        <v>16</v>
      </c>
      <c r="H2" s="3"/>
      <c r="I2" s="3" t="s">
        <v>17</v>
      </c>
      <c r="J2" s="4" t="s">
        <v>18</v>
      </c>
    </row>
    <row r="3" spans="1:10">
      <c r="A3" s="3" t="s">
        <v>19</v>
      </c>
      <c r="B3" s="3" t="s">
        <v>20</v>
      </c>
      <c r="C3" s="3" t="s">
        <v>21</v>
      </c>
      <c r="D3" s="4" t="s">
        <v>22</v>
      </c>
      <c r="E3" s="3" t="s">
        <v>14</v>
      </c>
      <c r="F3" s="3" t="s">
        <v>15</v>
      </c>
      <c r="G3" s="3" t="s">
        <v>16</v>
      </c>
      <c r="H3" s="3"/>
      <c r="I3" s="3" t="s">
        <v>17</v>
      </c>
      <c r="J3" s="4"/>
    </row>
    <row r="4" spans="1:10">
      <c r="A4" s="3" t="s">
        <v>23</v>
      </c>
      <c r="B4" s="3" t="s">
        <v>24</v>
      </c>
      <c r="C4" s="3" t="s">
        <v>21</v>
      </c>
      <c r="D4" s="4" t="s">
        <v>25</v>
      </c>
      <c r="E4" s="3" t="s">
        <v>14</v>
      </c>
      <c r="F4" s="3" t="s">
        <v>15</v>
      </c>
      <c r="G4" s="3" t="s">
        <v>16</v>
      </c>
      <c r="H4" s="3"/>
      <c r="I4" s="3" t="s">
        <v>17</v>
      </c>
      <c r="J4" s="4" t="s">
        <v>26</v>
      </c>
    </row>
    <row r="5" spans="1:10">
      <c r="A5" s="3" t="s">
        <v>27</v>
      </c>
      <c r="B5" s="3" t="s">
        <v>28</v>
      </c>
      <c r="C5" s="3" t="s">
        <v>21</v>
      </c>
      <c r="D5" s="4" t="s">
        <v>29</v>
      </c>
      <c r="E5" s="3" t="s">
        <v>14</v>
      </c>
      <c r="F5" s="3" t="s">
        <v>15</v>
      </c>
      <c r="G5" s="3" t="s">
        <v>16</v>
      </c>
      <c r="H5" s="3"/>
      <c r="I5" s="3" t="s">
        <v>17</v>
      </c>
      <c r="J5" s="4" t="s">
        <v>26</v>
      </c>
    </row>
    <row r="6" spans="1:10">
      <c r="A6" s="3" t="s">
        <v>30</v>
      </c>
      <c r="B6" s="3" t="s">
        <v>31</v>
      </c>
      <c r="C6" s="3" t="s">
        <v>32</v>
      </c>
      <c r="D6" s="4" t="s">
        <v>33</v>
      </c>
      <c r="E6" s="3" t="s">
        <v>14</v>
      </c>
      <c r="F6" s="3" t="s">
        <v>15</v>
      </c>
      <c r="G6" s="3" t="s">
        <v>16</v>
      </c>
      <c r="H6" s="3"/>
      <c r="I6" s="3" t="s">
        <v>17</v>
      </c>
      <c r="J6" s="4"/>
    </row>
    <row r="7" spans="1:10" ht="28">
      <c r="A7" s="3" t="s">
        <v>34</v>
      </c>
      <c r="B7" s="3" t="s">
        <v>35</v>
      </c>
      <c r="C7" s="3" t="s">
        <v>36</v>
      </c>
      <c r="D7" s="4" t="s">
        <v>37</v>
      </c>
      <c r="E7" s="3" t="s">
        <v>14</v>
      </c>
      <c r="F7" s="3" t="s">
        <v>15</v>
      </c>
      <c r="G7" s="3" t="s">
        <v>16</v>
      </c>
      <c r="H7" s="3"/>
      <c r="I7" s="3" t="s">
        <v>17</v>
      </c>
      <c r="J7" s="4" t="s">
        <v>38</v>
      </c>
    </row>
    <row r="8" spans="1:10">
      <c r="A8" s="3" t="s">
        <v>39</v>
      </c>
      <c r="B8" s="3" t="s">
        <v>40</v>
      </c>
      <c r="C8" s="3" t="s">
        <v>36</v>
      </c>
      <c r="D8" s="4" t="s">
        <v>41</v>
      </c>
      <c r="E8" s="3" t="s">
        <v>14</v>
      </c>
      <c r="F8" s="3" t="s">
        <v>15</v>
      </c>
      <c r="G8" s="3" t="s">
        <v>16</v>
      </c>
      <c r="H8" s="3"/>
      <c r="I8" s="3" t="s">
        <v>17</v>
      </c>
      <c r="J8" s="4" t="s">
        <v>42</v>
      </c>
    </row>
    <row r="9" spans="1:10">
      <c r="A9" s="3" t="s">
        <v>43</v>
      </c>
      <c r="B9" s="3" t="s">
        <v>44</v>
      </c>
      <c r="C9" s="3" t="s">
        <v>36</v>
      </c>
      <c r="D9" s="4" t="s">
        <v>45</v>
      </c>
      <c r="E9" s="3" t="s">
        <v>14</v>
      </c>
      <c r="F9" s="3" t="s">
        <v>15</v>
      </c>
      <c r="G9" s="3" t="s">
        <v>16</v>
      </c>
      <c r="H9" s="3"/>
      <c r="I9" s="3" t="s">
        <v>17</v>
      </c>
      <c r="J9" s="4" t="s">
        <v>42</v>
      </c>
    </row>
    <row r="10" spans="1:10">
      <c r="A10" s="3" t="s">
        <v>46</v>
      </c>
      <c r="B10" s="3" t="s">
        <v>47</v>
      </c>
      <c r="C10" s="3" t="s">
        <v>36</v>
      </c>
      <c r="D10" s="4" t="s">
        <v>48</v>
      </c>
      <c r="E10" s="3" t="s">
        <v>14</v>
      </c>
      <c r="F10" s="3" t="s">
        <v>49</v>
      </c>
      <c r="G10" s="3" t="s">
        <v>16</v>
      </c>
      <c r="H10" s="3"/>
      <c r="I10" s="3" t="s">
        <v>17</v>
      </c>
      <c r="J10" s="4"/>
    </row>
    <row r="11" spans="1:10" ht="28">
      <c r="A11" s="3" t="s">
        <v>50</v>
      </c>
      <c r="B11" s="3" t="s">
        <v>51</v>
      </c>
      <c r="C11" s="3" t="s">
        <v>36</v>
      </c>
      <c r="D11" s="4" t="s">
        <v>52</v>
      </c>
      <c r="E11" s="3" t="s">
        <v>14</v>
      </c>
      <c r="F11" s="3" t="s">
        <v>15</v>
      </c>
      <c r="G11" s="3" t="s">
        <v>16</v>
      </c>
      <c r="H11" s="3"/>
      <c r="I11" s="3" t="s">
        <v>17</v>
      </c>
      <c r="J11" s="4" t="s">
        <v>42</v>
      </c>
    </row>
    <row r="12" spans="1:10">
      <c r="A12" s="3" t="s">
        <v>53</v>
      </c>
      <c r="B12" s="3" t="s">
        <v>54</v>
      </c>
      <c r="C12" s="3" t="s">
        <v>36</v>
      </c>
      <c r="D12" s="4" t="s">
        <v>55</v>
      </c>
      <c r="E12" s="3" t="s">
        <v>14</v>
      </c>
      <c r="F12" s="3" t="s">
        <v>56</v>
      </c>
      <c r="G12" s="3" t="s">
        <v>16</v>
      </c>
      <c r="H12" s="3"/>
      <c r="I12" s="3" t="s">
        <v>17</v>
      </c>
      <c r="J12" s="4"/>
    </row>
    <row r="13" spans="1:10">
      <c r="A13" s="3" t="s">
        <v>57</v>
      </c>
      <c r="B13" s="3" t="s">
        <v>58</v>
      </c>
      <c r="C13" s="3" t="s">
        <v>59</v>
      </c>
      <c r="D13" s="4" t="s">
        <v>60</v>
      </c>
      <c r="E13" s="3" t="s">
        <v>61</v>
      </c>
      <c r="F13" s="3" t="s">
        <v>56</v>
      </c>
      <c r="G13" s="3" t="s">
        <v>16</v>
      </c>
      <c r="H13" s="3"/>
      <c r="I13" s="3" t="s">
        <v>17</v>
      </c>
      <c r="J13" s="4" t="s">
        <v>62</v>
      </c>
    </row>
    <row r="14" spans="1:10" ht="28">
      <c r="A14" s="3" t="s">
        <v>63</v>
      </c>
      <c r="B14" s="3" t="s">
        <v>64</v>
      </c>
      <c r="C14" s="3" t="s">
        <v>59</v>
      </c>
      <c r="D14" s="4" t="s">
        <v>65</v>
      </c>
      <c r="E14" s="3" t="s">
        <v>14</v>
      </c>
      <c r="F14" s="3" t="s">
        <v>15</v>
      </c>
      <c r="G14" s="3" t="s">
        <v>16</v>
      </c>
      <c r="H14" s="3"/>
      <c r="I14" s="3" t="s">
        <v>17</v>
      </c>
      <c r="J14" s="4"/>
    </row>
    <row r="15" spans="1:10">
      <c r="A15" s="3" t="s">
        <v>66</v>
      </c>
      <c r="B15" s="3" t="s">
        <v>67</v>
      </c>
      <c r="C15" s="3" t="s">
        <v>36</v>
      </c>
      <c r="D15" s="4" t="s">
        <v>68</v>
      </c>
      <c r="E15" s="3" t="s">
        <v>14</v>
      </c>
      <c r="F15" s="3" t="s">
        <v>69</v>
      </c>
      <c r="G15" s="3" t="s">
        <v>16</v>
      </c>
      <c r="H15" s="3"/>
      <c r="I15" s="3" t="s">
        <v>17</v>
      </c>
      <c r="J15" s="4"/>
    </row>
    <row r="16" spans="1:10" ht="28">
      <c r="A16" s="3" t="s">
        <v>70</v>
      </c>
      <c r="B16" s="3" t="s">
        <v>71</v>
      </c>
      <c r="C16" s="3" t="s">
        <v>72</v>
      </c>
      <c r="D16" s="4" t="s">
        <v>73</v>
      </c>
      <c r="E16" s="3" t="s">
        <v>14</v>
      </c>
      <c r="F16" s="3" t="s">
        <v>15</v>
      </c>
      <c r="G16" s="3" t="s">
        <v>16</v>
      </c>
      <c r="H16" s="3"/>
      <c r="I16" s="3" t="s">
        <v>17</v>
      </c>
      <c r="J16" s="4"/>
    </row>
    <row r="17" spans="1:10" ht="28">
      <c r="A17" s="3" t="s">
        <v>74</v>
      </c>
      <c r="B17" s="3" t="s">
        <v>75</v>
      </c>
      <c r="C17" s="3" t="s">
        <v>76</v>
      </c>
      <c r="D17" s="4" t="s">
        <v>77</v>
      </c>
      <c r="E17" s="3" t="s">
        <v>14</v>
      </c>
      <c r="F17" s="3" t="s">
        <v>15</v>
      </c>
      <c r="G17" s="3" t="s">
        <v>16</v>
      </c>
      <c r="H17" s="3"/>
      <c r="I17" s="3" t="s">
        <v>17</v>
      </c>
      <c r="J17" s="4" t="s">
        <v>78</v>
      </c>
    </row>
    <row r="18" spans="1:10" ht="28">
      <c r="A18" s="3" t="s">
        <v>79</v>
      </c>
      <c r="B18" s="3" t="s">
        <v>80</v>
      </c>
      <c r="C18" s="3" t="s">
        <v>81</v>
      </c>
      <c r="D18" s="4" t="s">
        <v>82</v>
      </c>
      <c r="E18" s="3" t="s">
        <v>83</v>
      </c>
      <c r="F18" s="3" t="s">
        <v>15</v>
      </c>
      <c r="G18" s="3" t="s">
        <v>84</v>
      </c>
      <c r="H18" s="3"/>
      <c r="I18" s="3" t="s">
        <v>17</v>
      </c>
      <c r="J18" s="4" t="s">
        <v>85</v>
      </c>
    </row>
    <row r="19" spans="1:10">
      <c r="A19" s="3" t="s">
        <v>86</v>
      </c>
      <c r="B19" s="3" t="s">
        <v>87</v>
      </c>
      <c r="C19" s="3" t="s">
        <v>88</v>
      </c>
      <c r="D19" s="4" t="s">
        <v>89</v>
      </c>
      <c r="E19" s="3" t="s">
        <v>14</v>
      </c>
      <c r="F19" s="3" t="s">
        <v>15</v>
      </c>
      <c r="G19" s="3" t="s">
        <v>16</v>
      </c>
      <c r="H19" s="3"/>
      <c r="I19" s="3" t="s">
        <v>17</v>
      </c>
      <c r="J19" s="4"/>
    </row>
    <row r="20" spans="1:10">
      <c r="A20" s="3" t="s">
        <v>90</v>
      </c>
      <c r="B20" s="3" t="s">
        <v>91</v>
      </c>
      <c r="C20" s="3" t="s">
        <v>88</v>
      </c>
      <c r="D20" s="4" t="s">
        <v>92</v>
      </c>
      <c r="E20" s="3" t="s">
        <v>14</v>
      </c>
      <c r="F20" s="3" t="s">
        <v>15</v>
      </c>
      <c r="G20" s="3" t="s">
        <v>16</v>
      </c>
      <c r="H20" s="3"/>
      <c r="I20" s="3" t="s">
        <v>17</v>
      </c>
      <c r="J20" s="4"/>
    </row>
    <row r="21" spans="1:10">
      <c r="A21" s="3" t="s">
        <v>93</v>
      </c>
      <c r="B21" s="3" t="s">
        <v>94</v>
      </c>
      <c r="C21" s="3" t="s">
        <v>95</v>
      </c>
      <c r="D21" s="4" t="s">
        <v>96</v>
      </c>
      <c r="E21" s="3" t="s">
        <v>61</v>
      </c>
      <c r="F21" s="3" t="s">
        <v>15</v>
      </c>
      <c r="G21" s="3" t="s">
        <v>16</v>
      </c>
      <c r="H21" s="3"/>
      <c r="I21" s="3" t="s">
        <v>17</v>
      </c>
      <c r="J21" s="4"/>
    </row>
    <row r="22" spans="1:10">
      <c r="A22" s="3" t="s">
        <v>97</v>
      </c>
      <c r="B22" s="3" t="s">
        <v>98</v>
      </c>
      <c r="C22" s="3" t="s">
        <v>99</v>
      </c>
      <c r="D22" s="4" t="s">
        <v>100</v>
      </c>
      <c r="E22" s="3" t="s">
        <v>14</v>
      </c>
      <c r="F22" s="3" t="s">
        <v>15</v>
      </c>
      <c r="G22" s="3" t="s">
        <v>16</v>
      </c>
      <c r="H22" s="3"/>
      <c r="I22" s="3" t="s">
        <v>17</v>
      </c>
      <c r="J22" s="4"/>
    </row>
    <row r="23" spans="1:10">
      <c r="A23" s="3" t="s">
        <v>101</v>
      </c>
      <c r="B23" s="3" t="s">
        <v>102</v>
      </c>
      <c r="C23" s="3" t="s">
        <v>103</v>
      </c>
      <c r="D23" s="4" t="s">
        <v>104</v>
      </c>
      <c r="E23" s="3" t="s">
        <v>14</v>
      </c>
      <c r="F23" s="3" t="s">
        <v>15</v>
      </c>
      <c r="G23" s="3" t="s">
        <v>16</v>
      </c>
      <c r="H23" s="3"/>
      <c r="I23" s="3" t="s">
        <v>17</v>
      </c>
      <c r="J23" s="4"/>
    </row>
    <row r="24" spans="1:10">
      <c r="A24" s="3" t="s">
        <v>105</v>
      </c>
      <c r="B24" s="3" t="s">
        <v>106</v>
      </c>
      <c r="C24" s="3" t="s">
        <v>107</v>
      </c>
      <c r="D24" s="4" t="s">
        <v>108</v>
      </c>
      <c r="E24" s="3" t="s">
        <v>61</v>
      </c>
      <c r="F24" s="3" t="s">
        <v>15</v>
      </c>
      <c r="G24" s="3" t="s">
        <v>16</v>
      </c>
      <c r="H24" s="3"/>
      <c r="I24" s="3" t="s">
        <v>17</v>
      </c>
      <c r="J24" s="4" t="s">
        <v>109</v>
      </c>
    </row>
    <row r="25" spans="1:10">
      <c r="A25" s="3" t="s">
        <v>110</v>
      </c>
      <c r="B25" s="3" t="s">
        <v>111</v>
      </c>
      <c r="C25" s="3" t="s">
        <v>112</v>
      </c>
      <c r="D25" s="4" t="s">
        <v>113</v>
      </c>
      <c r="E25" s="3" t="s">
        <v>14</v>
      </c>
      <c r="F25" s="3" t="s">
        <v>15</v>
      </c>
      <c r="G25" s="3" t="s">
        <v>16</v>
      </c>
      <c r="H25" s="3"/>
      <c r="I25" s="3" t="s">
        <v>17</v>
      </c>
      <c r="J25" s="4"/>
    </row>
    <row r="26" spans="1:10">
      <c r="A26" s="3" t="s">
        <v>114</v>
      </c>
      <c r="B26" s="3" t="s">
        <v>115</v>
      </c>
      <c r="C26" s="3" t="s">
        <v>116</v>
      </c>
      <c r="D26" s="4" t="s">
        <v>117</v>
      </c>
      <c r="E26" s="3" t="s">
        <v>61</v>
      </c>
      <c r="F26" s="3" t="s">
        <v>15</v>
      </c>
      <c r="G26" s="3" t="s">
        <v>16</v>
      </c>
      <c r="H26" s="3"/>
      <c r="I26" s="3" t="s">
        <v>17</v>
      </c>
      <c r="J26" s="4"/>
    </row>
    <row r="27" spans="1:10">
      <c r="A27" s="3" t="s">
        <v>118</v>
      </c>
      <c r="B27" s="3" t="s">
        <v>119</v>
      </c>
      <c r="C27" s="3" t="s">
        <v>120</v>
      </c>
      <c r="D27" s="4" t="s">
        <v>121</v>
      </c>
      <c r="E27" s="3" t="s">
        <v>14</v>
      </c>
      <c r="F27" s="3" t="s">
        <v>15</v>
      </c>
      <c r="G27" s="3" t="s">
        <v>16</v>
      </c>
      <c r="H27" s="3"/>
      <c r="I27" s="3" t="s">
        <v>17</v>
      </c>
      <c r="J27" s="4" t="s">
        <v>122</v>
      </c>
    </row>
    <row r="28" spans="1:10">
      <c r="A28" s="3" t="s">
        <v>123</v>
      </c>
      <c r="B28" s="3" t="s">
        <v>124</v>
      </c>
      <c r="C28" s="3" t="s">
        <v>125</v>
      </c>
      <c r="D28" s="4" t="s">
        <v>126</v>
      </c>
      <c r="E28" s="3" t="s">
        <v>14</v>
      </c>
      <c r="F28" s="3" t="s">
        <v>15</v>
      </c>
      <c r="G28" s="3" t="s">
        <v>16</v>
      </c>
      <c r="H28" s="3"/>
      <c r="I28" s="3" t="s">
        <v>17</v>
      </c>
      <c r="J28" s="4"/>
    </row>
    <row r="29" spans="1:10" ht="28">
      <c r="A29" s="3" t="s">
        <v>127</v>
      </c>
      <c r="B29" s="3" t="s">
        <v>128</v>
      </c>
      <c r="C29" s="3" t="s">
        <v>129</v>
      </c>
      <c r="D29" s="4" t="s">
        <v>130</v>
      </c>
      <c r="E29" s="3" t="s">
        <v>61</v>
      </c>
      <c r="F29" s="3" t="s">
        <v>131</v>
      </c>
      <c r="G29" s="3" t="s">
        <v>16</v>
      </c>
      <c r="H29" s="3"/>
      <c r="I29" s="3" t="s">
        <v>17</v>
      </c>
      <c r="J29" s="4"/>
    </row>
    <row r="30" spans="1:10">
      <c r="A30" s="3" t="s">
        <v>132</v>
      </c>
      <c r="B30" s="3" t="s">
        <v>133</v>
      </c>
      <c r="C30" s="3" t="s">
        <v>134</v>
      </c>
      <c r="D30" s="4" t="s">
        <v>135</v>
      </c>
      <c r="E30" s="3" t="s">
        <v>14</v>
      </c>
      <c r="F30" s="3" t="s">
        <v>131</v>
      </c>
      <c r="G30" s="3" t="s">
        <v>16</v>
      </c>
      <c r="H30" s="3"/>
      <c r="I30" s="3" t="s">
        <v>17</v>
      </c>
      <c r="J30" s="4"/>
    </row>
    <row r="31" spans="1:10">
      <c r="A31" s="3" t="s">
        <v>136</v>
      </c>
      <c r="B31" s="3" t="s">
        <v>137</v>
      </c>
      <c r="C31" s="3" t="s">
        <v>138</v>
      </c>
      <c r="D31" s="4" t="s">
        <v>139</v>
      </c>
      <c r="E31" s="3" t="s">
        <v>14</v>
      </c>
      <c r="F31" s="3" t="s">
        <v>140</v>
      </c>
      <c r="G31" s="3" t="s">
        <v>16</v>
      </c>
      <c r="H31" s="3"/>
      <c r="I31" s="3" t="s">
        <v>17</v>
      </c>
      <c r="J31" s="4"/>
    </row>
    <row r="32" spans="1:10">
      <c r="A32" s="3" t="s">
        <v>141</v>
      </c>
      <c r="B32" s="3" t="s">
        <v>142</v>
      </c>
      <c r="C32" s="3" t="s">
        <v>143</v>
      </c>
      <c r="D32" s="4" t="s">
        <v>144</v>
      </c>
      <c r="E32" s="3" t="s">
        <v>14</v>
      </c>
      <c r="F32" s="3" t="s">
        <v>15</v>
      </c>
      <c r="G32" s="3" t="s">
        <v>16</v>
      </c>
      <c r="H32" s="3"/>
      <c r="I32" s="3" t="s">
        <v>17</v>
      </c>
      <c r="J32" s="4"/>
    </row>
    <row r="33" spans="1:10">
      <c r="A33" s="3" t="s">
        <v>145</v>
      </c>
      <c r="B33" s="3" t="s">
        <v>146</v>
      </c>
      <c r="C33" s="3" t="s">
        <v>134</v>
      </c>
      <c r="D33" s="4" t="s">
        <v>147</v>
      </c>
      <c r="E33" s="3" t="s">
        <v>14</v>
      </c>
      <c r="F33" s="3" t="s">
        <v>148</v>
      </c>
      <c r="G33" s="3" t="s">
        <v>16</v>
      </c>
      <c r="H33" s="3"/>
      <c r="I33" s="3" t="s">
        <v>17</v>
      </c>
      <c r="J33" s="4"/>
    </row>
    <row r="34" spans="1:10">
      <c r="A34" s="3" t="s">
        <v>149</v>
      </c>
      <c r="B34" s="3" t="s">
        <v>150</v>
      </c>
      <c r="C34" s="3" t="s">
        <v>151</v>
      </c>
      <c r="D34" s="4" t="s">
        <v>152</v>
      </c>
      <c r="E34" s="3" t="s">
        <v>14</v>
      </c>
      <c r="F34" s="3" t="s">
        <v>15</v>
      </c>
      <c r="G34" s="3" t="s">
        <v>16</v>
      </c>
      <c r="H34" s="3"/>
      <c r="I34" s="3" t="s">
        <v>17</v>
      </c>
      <c r="J34" s="4" t="s">
        <v>153</v>
      </c>
    </row>
    <row r="35" spans="1:10">
      <c r="A35" s="3" t="s">
        <v>154</v>
      </c>
      <c r="B35" s="3" t="s">
        <v>155</v>
      </c>
      <c r="C35" s="3" t="s">
        <v>156</v>
      </c>
      <c r="D35" s="4" t="s">
        <v>157</v>
      </c>
      <c r="E35" s="3" t="s">
        <v>14</v>
      </c>
      <c r="F35" s="3" t="s">
        <v>15</v>
      </c>
      <c r="G35" s="3" t="s">
        <v>16</v>
      </c>
      <c r="H35" s="3"/>
      <c r="I35" s="3" t="s">
        <v>17</v>
      </c>
      <c r="J35" s="4" t="s">
        <v>158</v>
      </c>
    </row>
    <row r="36" spans="1:10">
      <c r="A36" s="3" t="s">
        <v>159</v>
      </c>
      <c r="B36" s="3" t="s">
        <v>160</v>
      </c>
      <c r="C36" s="3" t="s">
        <v>161</v>
      </c>
      <c r="D36" s="4" t="s">
        <v>162</v>
      </c>
      <c r="E36" s="3" t="s">
        <v>14</v>
      </c>
      <c r="F36" s="3" t="s">
        <v>15</v>
      </c>
      <c r="G36" s="3" t="s">
        <v>16</v>
      </c>
      <c r="H36" s="3"/>
      <c r="I36" s="3" t="s">
        <v>17</v>
      </c>
      <c r="J36" s="4"/>
    </row>
    <row r="37" spans="1:10">
      <c r="A37" s="3" t="s">
        <v>163</v>
      </c>
      <c r="B37" s="3" t="s">
        <v>164</v>
      </c>
      <c r="C37" s="3" t="s">
        <v>161</v>
      </c>
      <c r="D37" s="4" t="s">
        <v>165</v>
      </c>
      <c r="E37" s="3" t="s">
        <v>14</v>
      </c>
      <c r="F37" s="3" t="s">
        <v>166</v>
      </c>
      <c r="G37" s="3" t="s">
        <v>16</v>
      </c>
      <c r="H37" s="3"/>
      <c r="I37" s="3" t="s">
        <v>17</v>
      </c>
      <c r="J37" s="4"/>
    </row>
    <row r="38" spans="1:10" ht="28">
      <c r="A38" s="3" t="s">
        <v>167</v>
      </c>
      <c r="B38" s="3" t="s">
        <v>168</v>
      </c>
      <c r="C38" s="3" t="s">
        <v>169</v>
      </c>
      <c r="D38" s="4" t="s">
        <v>170</v>
      </c>
      <c r="E38" s="3" t="s">
        <v>171</v>
      </c>
      <c r="F38" s="3" t="s">
        <v>172</v>
      </c>
      <c r="G38" s="3" t="s">
        <v>16</v>
      </c>
      <c r="H38" s="3"/>
      <c r="I38" s="3" t="s">
        <v>17</v>
      </c>
      <c r="J38" s="4" t="s">
        <v>173</v>
      </c>
    </row>
    <row r="39" spans="1:10" ht="28">
      <c r="A39" s="3" t="s">
        <v>174</v>
      </c>
      <c r="B39" s="3" t="s">
        <v>175</v>
      </c>
      <c r="C39" s="3" t="s">
        <v>169</v>
      </c>
      <c r="D39" s="4" t="s">
        <v>176</v>
      </c>
      <c r="E39" s="3" t="s">
        <v>14</v>
      </c>
      <c r="F39" s="3" t="s">
        <v>49</v>
      </c>
      <c r="G39" s="3" t="s">
        <v>16</v>
      </c>
      <c r="H39" s="3"/>
      <c r="I39" s="3" t="s">
        <v>17</v>
      </c>
      <c r="J39" s="4" t="s">
        <v>177</v>
      </c>
    </row>
    <row r="40" spans="1:10">
      <c r="A40" s="3" t="s">
        <v>178</v>
      </c>
      <c r="B40" s="3" t="s">
        <v>179</v>
      </c>
      <c r="C40" s="3" t="s">
        <v>169</v>
      </c>
      <c r="D40" s="4" t="s">
        <v>180</v>
      </c>
      <c r="E40" s="3" t="s">
        <v>14</v>
      </c>
      <c r="F40" s="3" t="s">
        <v>15</v>
      </c>
      <c r="G40" s="3" t="s">
        <v>16</v>
      </c>
      <c r="H40" s="3"/>
      <c r="I40" s="3" t="s">
        <v>17</v>
      </c>
      <c r="J40" s="4" t="s">
        <v>181</v>
      </c>
    </row>
    <row r="41" spans="1:10" ht="28">
      <c r="A41" s="3" t="s">
        <v>182</v>
      </c>
      <c r="B41" s="3" t="s">
        <v>183</v>
      </c>
      <c r="C41" s="3" t="s">
        <v>184</v>
      </c>
      <c r="D41" s="4" t="s">
        <v>185</v>
      </c>
      <c r="E41" s="3" t="s">
        <v>14</v>
      </c>
      <c r="F41" s="3" t="s">
        <v>15</v>
      </c>
      <c r="G41" s="3" t="s">
        <v>16</v>
      </c>
      <c r="H41" s="3"/>
      <c r="I41" s="3" t="s">
        <v>17</v>
      </c>
      <c r="J41" s="4"/>
    </row>
    <row r="42" spans="1:10" ht="28">
      <c r="A42" s="3" t="s">
        <v>186</v>
      </c>
      <c r="B42" s="3" t="s">
        <v>187</v>
      </c>
      <c r="C42" s="3" t="s">
        <v>184</v>
      </c>
      <c r="D42" s="4" t="s">
        <v>188</v>
      </c>
      <c r="E42" s="3" t="s">
        <v>14</v>
      </c>
      <c r="F42" s="3" t="s">
        <v>15</v>
      </c>
      <c r="G42" s="3" t="s">
        <v>16</v>
      </c>
      <c r="H42" s="3"/>
      <c r="I42" s="3" t="s">
        <v>17</v>
      </c>
      <c r="J42" s="4"/>
    </row>
    <row r="43" spans="1:10" ht="28">
      <c r="A43" s="3" t="s">
        <v>189</v>
      </c>
      <c r="B43" s="3" t="s">
        <v>190</v>
      </c>
      <c r="C43" s="3" t="s">
        <v>191</v>
      </c>
      <c r="D43" s="4" t="s">
        <v>192</v>
      </c>
      <c r="E43" s="3" t="s">
        <v>61</v>
      </c>
      <c r="F43" s="3" t="s">
        <v>131</v>
      </c>
      <c r="G43" s="3" t="s">
        <v>16</v>
      </c>
      <c r="H43" s="3"/>
      <c r="I43" s="3" t="s">
        <v>17</v>
      </c>
      <c r="J43" s="4" t="s">
        <v>193</v>
      </c>
    </row>
    <row r="44" spans="1:10">
      <c r="A44" s="3" t="s">
        <v>194</v>
      </c>
      <c r="B44" s="3" t="s">
        <v>195</v>
      </c>
      <c r="C44" s="3" t="s">
        <v>196</v>
      </c>
      <c r="D44" s="4" t="s">
        <v>197</v>
      </c>
      <c r="E44" s="3" t="s">
        <v>61</v>
      </c>
      <c r="F44" s="3" t="s">
        <v>131</v>
      </c>
      <c r="G44" s="3" t="s">
        <v>16</v>
      </c>
      <c r="H44" s="3"/>
      <c r="I44" s="3" t="s">
        <v>17</v>
      </c>
      <c r="J44" s="4"/>
    </row>
    <row r="45" spans="1:10">
      <c r="A45" s="3" t="s">
        <v>198</v>
      </c>
      <c r="B45" s="3" t="s">
        <v>199</v>
      </c>
      <c r="C45" s="3" t="s">
        <v>200</v>
      </c>
      <c r="D45" s="4" t="s">
        <v>201</v>
      </c>
      <c r="E45" s="3" t="s">
        <v>61</v>
      </c>
      <c r="F45" s="3" t="s">
        <v>131</v>
      </c>
      <c r="G45" s="3" t="s">
        <v>16</v>
      </c>
      <c r="H45" s="3"/>
      <c r="I45" s="3" t="s">
        <v>17</v>
      </c>
      <c r="J45" s="4"/>
    </row>
    <row r="46" spans="1:10">
      <c r="A46" s="3" t="s">
        <v>202</v>
      </c>
      <c r="B46" s="3" t="s">
        <v>203</v>
      </c>
      <c r="C46" s="3" t="s">
        <v>200</v>
      </c>
      <c r="D46" s="4" t="s">
        <v>204</v>
      </c>
      <c r="E46" s="3" t="s">
        <v>61</v>
      </c>
      <c r="F46" s="3" t="s">
        <v>205</v>
      </c>
      <c r="G46" s="3" t="s">
        <v>16</v>
      </c>
      <c r="H46" s="3"/>
      <c r="I46" s="3" t="s">
        <v>17</v>
      </c>
      <c r="J46" s="4"/>
    </row>
    <row r="47" spans="1:10" ht="28">
      <c r="A47" s="3" t="s">
        <v>206</v>
      </c>
      <c r="B47" s="3" t="s">
        <v>207</v>
      </c>
      <c r="C47" s="3" t="s">
        <v>208</v>
      </c>
      <c r="D47" s="4" t="s">
        <v>209</v>
      </c>
      <c r="E47" s="3" t="s">
        <v>14</v>
      </c>
      <c r="F47" s="3" t="s">
        <v>210</v>
      </c>
      <c r="G47" s="3" t="s">
        <v>16</v>
      </c>
      <c r="H47" s="3"/>
      <c r="I47" s="3" t="s">
        <v>17</v>
      </c>
      <c r="J47" s="4"/>
    </row>
    <row r="48" spans="1:10" ht="28">
      <c r="A48" s="3" t="s">
        <v>211</v>
      </c>
      <c r="B48" s="3" t="s">
        <v>212</v>
      </c>
      <c r="C48" s="3" t="s">
        <v>208</v>
      </c>
      <c r="D48" s="4" t="s">
        <v>213</v>
      </c>
      <c r="E48" s="3" t="s">
        <v>14</v>
      </c>
      <c r="F48" s="3" t="s">
        <v>15</v>
      </c>
      <c r="G48" s="3" t="s">
        <v>16</v>
      </c>
      <c r="H48" s="3"/>
      <c r="I48" s="3" t="s">
        <v>17</v>
      </c>
      <c r="J48" s="4" t="s">
        <v>214</v>
      </c>
    </row>
    <row r="49" spans="1:10">
      <c r="A49" s="3" t="s">
        <v>215</v>
      </c>
      <c r="B49" s="3" t="s">
        <v>216</v>
      </c>
      <c r="C49" s="3" t="s">
        <v>208</v>
      </c>
      <c r="D49" s="4" t="s">
        <v>217</v>
      </c>
      <c r="E49" s="3" t="s">
        <v>14</v>
      </c>
      <c r="F49" s="3" t="s">
        <v>218</v>
      </c>
      <c r="G49" s="3" t="s">
        <v>16</v>
      </c>
      <c r="H49" s="3"/>
      <c r="I49" s="3" t="s">
        <v>17</v>
      </c>
      <c r="J49" s="4" t="s">
        <v>219</v>
      </c>
    </row>
    <row r="50" spans="1:10">
      <c r="A50" s="3" t="s">
        <v>220</v>
      </c>
      <c r="B50" s="3" t="s">
        <v>221</v>
      </c>
      <c r="C50" s="3" t="s">
        <v>208</v>
      </c>
      <c r="D50" s="4" t="s">
        <v>222</v>
      </c>
      <c r="E50" s="3" t="s">
        <v>14</v>
      </c>
      <c r="F50" s="3" t="s">
        <v>223</v>
      </c>
      <c r="G50" s="3" t="s">
        <v>16</v>
      </c>
      <c r="H50" s="3"/>
      <c r="I50" s="3" t="s">
        <v>17</v>
      </c>
      <c r="J50" s="4"/>
    </row>
    <row r="51" spans="1:10">
      <c r="A51" s="3" t="s">
        <v>224</v>
      </c>
      <c r="B51" s="3" t="s">
        <v>225</v>
      </c>
      <c r="C51" s="3" t="s">
        <v>226</v>
      </c>
      <c r="D51" s="4" t="s">
        <v>227</v>
      </c>
      <c r="E51" s="3" t="s">
        <v>14</v>
      </c>
      <c r="F51" s="3" t="s">
        <v>15</v>
      </c>
      <c r="G51" s="3" t="s">
        <v>16</v>
      </c>
      <c r="H51" s="3"/>
      <c r="I51" s="3" t="s">
        <v>17</v>
      </c>
      <c r="J51" s="4"/>
    </row>
    <row r="52" spans="1:10">
      <c r="A52" s="3" t="s">
        <v>228</v>
      </c>
      <c r="B52" s="3" t="s">
        <v>229</v>
      </c>
      <c r="C52" s="3" t="s">
        <v>226</v>
      </c>
      <c r="D52" s="4" t="s">
        <v>230</v>
      </c>
      <c r="E52" s="3" t="s">
        <v>61</v>
      </c>
      <c r="F52" s="3" t="s">
        <v>205</v>
      </c>
      <c r="G52" s="3" t="s">
        <v>16</v>
      </c>
      <c r="H52" s="3"/>
      <c r="I52" s="3" t="s">
        <v>17</v>
      </c>
      <c r="J52" s="4"/>
    </row>
    <row r="53" spans="1:10">
      <c r="A53" s="3" t="s">
        <v>231</v>
      </c>
      <c r="B53" s="3" t="s">
        <v>232</v>
      </c>
      <c r="C53" s="3" t="s">
        <v>226</v>
      </c>
      <c r="D53" s="4" t="s">
        <v>233</v>
      </c>
      <c r="E53" s="3" t="s">
        <v>61</v>
      </c>
      <c r="F53" s="3" t="s">
        <v>131</v>
      </c>
      <c r="G53" s="3" t="s">
        <v>16</v>
      </c>
      <c r="H53" s="3"/>
      <c r="I53" s="3" t="s">
        <v>17</v>
      </c>
      <c r="J53" s="4"/>
    </row>
    <row r="54" spans="1:10">
      <c r="A54" s="3" t="s">
        <v>234</v>
      </c>
      <c r="B54" s="3" t="s">
        <v>235</v>
      </c>
      <c r="C54" s="3" t="s">
        <v>236</v>
      </c>
      <c r="D54" s="4" t="s">
        <v>237</v>
      </c>
      <c r="E54" s="3" t="s">
        <v>14</v>
      </c>
      <c r="F54" s="3" t="s">
        <v>238</v>
      </c>
      <c r="G54" s="3" t="s">
        <v>16</v>
      </c>
      <c r="H54" s="3"/>
      <c r="I54" s="3" t="s">
        <v>17</v>
      </c>
      <c r="J54" s="4"/>
    </row>
    <row r="55" spans="1:10">
      <c r="A55" s="3" t="s">
        <v>239</v>
      </c>
      <c r="B55" s="3" t="s">
        <v>240</v>
      </c>
      <c r="C55" s="3" t="s">
        <v>241</v>
      </c>
      <c r="D55" s="4" t="s">
        <v>242</v>
      </c>
      <c r="E55" s="3" t="s">
        <v>14</v>
      </c>
      <c r="F55" s="3" t="s">
        <v>210</v>
      </c>
      <c r="G55" s="3" t="s">
        <v>16</v>
      </c>
      <c r="H55" s="3"/>
      <c r="I55" s="3" t="s">
        <v>17</v>
      </c>
      <c r="J55" s="4"/>
    </row>
    <row r="56" spans="1:10">
      <c r="A56" s="3" t="s">
        <v>243</v>
      </c>
      <c r="B56" s="3" t="s">
        <v>244</v>
      </c>
      <c r="C56" s="3" t="s">
        <v>241</v>
      </c>
      <c r="D56" s="4" t="s">
        <v>245</v>
      </c>
      <c r="E56" s="3" t="s">
        <v>83</v>
      </c>
      <c r="F56" s="3" t="s">
        <v>15</v>
      </c>
      <c r="G56" s="3" t="s">
        <v>84</v>
      </c>
      <c r="H56" s="3"/>
      <c r="I56" s="3" t="s">
        <v>17</v>
      </c>
      <c r="J56" s="4" t="s">
        <v>246</v>
      </c>
    </row>
    <row r="57" spans="1:10">
      <c r="A57" s="3" t="s">
        <v>247</v>
      </c>
      <c r="B57" s="3" t="s">
        <v>248</v>
      </c>
      <c r="C57" s="3" t="s">
        <v>241</v>
      </c>
      <c r="D57" s="4" t="s">
        <v>249</v>
      </c>
      <c r="E57" s="3" t="s">
        <v>83</v>
      </c>
      <c r="F57" s="3" t="s">
        <v>250</v>
      </c>
      <c r="G57" s="3" t="s">
        <v>84</v>
      </c>
      <c r="H57" s="3"/>
      <c r="I57" s="3" t="s">
        <v>17</v>
      </c>
      <c r="J57" s="4" t="s">
        <v>246</v>
      </c>
    </row>
    <row r="58" spans="1:10" ht="28">
      <c r="A58" s="3" t="s">
        <v>251</v>
      </c>
      <c r="B58" s="3" t="s">
        <v>252</v>
      </c>
      <c r="C58" s="3" t="s">
        <v>253</v>
      </c>
      <c r="D58" s="4" t="s">
        <v>254</v>
      </c>
      <c r="E58" s="3" t="s">
        <v>14</v>
      </c>
      <c r="F58" s="3" t="s">
        <v>15</v>
      </c>
      <c r="G58" s="3" t="s">
        <v>255</v>
      </c>
      <c r="H58" s="3"/>
      <c r="I58" s="3" t="s">
        <v>17</v>
      </c>
      <c r="J58" s="4" t="s">
        <v>256</v>
      </c>
    </row>
    <row r="59" spans="1:10" ht="28">
      <c r="A59" s="3" t="s">
        <v>257</v>
      </c>
      <c r="B59" s="3" t="s">
        <v>258</v>
      </c>
      <c r="C59" s="3" t="s">
        <v>253</v>
      </c>
      <c r="D59" s="4" t="s">
        <v>259</v>
      </c>
      <c r="E59" s="3" t="s">
        <v>14</v>
      </c>
      <c r="F59" s="3" t="s">
        <v>15</v>
      </c>
      <c r="G59" s="3" t="s">
        <v>16</v>
      </c>
      <c r="H59" s="3"/>
      <c r="I59" s="3" t="s">
        <v>17</v>
      </c>
      <c r="J59" s="4" t="s">
        <v>260</v>
      </c>
    </row>
    <row r="60" spans="1:10" ht="28">
      <c r="A60" s="3" t="s">
        <v>261</v>
      </c>
      <c r="B60" s="3" t="s">
        <v>262</v>
      </c>
      <c r="C60" s="3" t="s">
        <v>263</v>
      </c>
      <c r="D60" s="4" t="s">
        <v>264</v>
      </c>
      <c r="E60" s="3" t="s">
        <v>61</v>
      </c>
      <c r="F60" s="3" t="s">
        <v>223</v>
      </c>
      <c r="G60" s="3" t="s">
        <v>16</v>
      </c>
      <c r="H60" s="3"/>
      <c r="I60" s="3" t="s">
        <v>17</v>
      </c>
      <c r="J60" s="4" t="s">
        <v>265</v>
      </c>
    </row>
    <row r="61" spans="1:10" ht="28">
      <c r="A61" s="3" t="s">
        <v>266</v>
      </c>
      <c r="B61" s="3" t="s">
        <v>267</v>
      </c>
      <c r="C61" s="3" t="s">
        <v>268</v>
      </c>
      <c r="D61" s="4" t="s">
        <v>269</v>
      </c>
      <c r="E61" s="3" t="s">
        <v>14</v>
      </c>
      <c r="F61" s="3" t="s">
        <v>15</v>
      </c>
      <c r="G61" s="3" t="s">
        <v>16</v>
      </c>
      <c r="H61" s="3"/>
      <c r="I61" s="3" t="s">
        <v>17</v>
      </c>
      <c r="J61" s="4"/>
    </row>
    <row r="62" spans="1:10">
      <c r="A62" s="3" t="s">
        <v>270</v>
      </c>
      <c r="B62" s="3" t="s">
        <v>271</v>
      </c>
      <c r="C62" s="3" t="s">
        <v>268</v>
      </c>
      <c r="D62" s="4" t="s">
        <v>272</v>
      </c>
      <c r="E62" s="3" t="s">
        <v>14</v>
      </c>
      <c r="F62" s="3" t="s">
        <v>166</v>
      </c>
      <c r="G62" s="3" t="s">
        <v>16</v>
      </c>
      <c r="H62" s="3"/>
      <c r="I62" s="3" t="s">
        <v>17</v>
      </c>
      <c r="J62" s="4"/>
    </row>
    <row r="63" spans="1:10">
      <c r="A63" s="3" t="s">
        <v>273</v>
      </c>
      <c r="B63" s="3" t="s">
        <v>274</v>
      </c>
      <c r="C63" s="3" t="s">
        <v>268</v>
      </c>
      <c r="D63" s="4" t="s">
        <v>275</v>
      </c>
      <c r="E63" s="3" t="s">
        <v>14</v>
      </c>
      <c r="F63" s="3" t="s">
        <v>166</v>
      </c>
      <c r="G63" s="3" t="s">
        <v>16</v>
      </c>
      <c r="H63" s="3"/>
      <c r="I63" s="3" t="s">
        <v>17</v>
      </c>
      <c r="J63" s="4"/>
    </row>
    <row r="64" spans="1:10">
      <c r="A64" s="3" t="s">
        <v>276</v>
      </c>
      <c r="B64" s="3" t="s">
        <v>277</v>
      </c>
      <c r="C64" s="3" t="s">
        <v>278</v>
      </c>
      <c r="D64" s="4" t="s">
        <v>279</v>
      </c>
      <c r="E64" s="3" t="s">
        <v>61</v>
      </c>
      <c r="F64" s="3" t="s">
        <v>131</v>
      </c>
      <c r="G64" s="3" t="s">
        <v>16</v>
      </c>
      <c r="H64" s="3"/>
      <c r="I64" s="3" t="s">
        <v>17</v>
      </c>
      <c r="J64" s="4"/>
    </row>
    <row r="65" spans="1:10">
      <c r="A65" s="3" t="s">
        <v>280</v>
      </c>
      <c r="B65" s="3" t="s">
        <v>281</v>
      </c>
      <c r="C65" s="3" t="s">
        <v>282</v>
      </c>
      <c r="D65" s="4" t="s">
        <v>283</v>
      </c>
      <c r="E65" s="3" t="s">
        <v>14</v>
      </c>
      <c r="F65" s="3" t="s">
        <v>284</v>
      </c>
      <c r="G65" s="3" t="s">
        <v>16</v>
      </c>
      <c r="H65" s="3"/>
      <c r="I65" s="3" t="s">
        <v>17</v>
      </c>
      <c r="J65" s="4" t="s">
        <v>285</v>
      </c>
    </row>
    <row r="66" spans="1:10">
      <c r="A66" s="3" t="s">
        <v>286</v>
      </c>
      <c r="B66" s="3" t="s">
        <v>287</v>
      </c>
      <c r="C66" s="3" t="s">
        <v>288</v>
      </c>
      <c r="D66" s="4" t="s">
        <v>289</v>
      </c>
      <c r="E66" s="3" t="s">
        <v>14</v>
      </c>
      <c r="F66" s="3" t="s">
        <v>140</v>
      </c>
      <c r="G66" s="3" t="s">
        <v>16</v>
      </c>
      <c r="H66" s="3"/>
      <c r="I66" s="3" t="s">
        <v>17</v>
      </c>
      <c r="J66" s="4"/>
    </row>
    <row r="67" spans="1:10">
      <c r="A67" s="3" t="s">
        <v>290</v>
      </c>
      <c r="B67" s="3" t="s">
        <v>291</v>
      </c>
      <c r="C67" s="3" t="s">
        <v>292</v>
      </c>
      <c r="D67" s="4" t="s">
        <v>293</v>
      </c>
      <c r="E67" s="3" t="s">
        <v>61</v>
      </c>
      <c r="F67" s="3" t="s">
        <v>131</v>
      </c>
      <c r="G67" s="3" t="s">
        <v>16</v>
      </c>
      <c r="H67" s="3"/>
      <c r="I67" s="3" t="s">
        <v>17</v>
      </c>
      <c r="J67" s="4" t="s">
        <v>294</v>
      </c>
    </row>
    <row r="68" spans="1:10">
      <c r="A68" s="3" t="s">
        <v>295</v>
      </c>
      <c r="B68" s="3" t="s">
        <v>296</v>
      </c>
      <c r="C68" s="3" t="s">
        <v>278</v>
      </c>
      <c r="D68" s="4" t="s">
        <v>297</v>
      </c>
      <c r="E68" s="3" t="s">
        <v>298</v>
      </c>
      <c r="F68" s="3" t="s">
        <v>131</v>
      </c>
      <c r="G68" s="3" t="s">
        <v>16</v>
      </c>
      <c r="H68" s="3"/>
      <c r="I68" s="3" t="s">
        <v>17</v>
      </c>
      <c r="J68" s="4" t="s">
        <v>299</v>
      </c>
    </row>
    <row r="69" spans="1:10">
      <c r="A69" s="3" t="s">
        <v>300</v>
      </c>
      <c r="B69" s="3" t="s">
        <v>301</v>
      </c>
      <c r="C69" s="3" t="s">
        <v>302</v>
      </c>
      <c r="D69" s="4" t="s">
        <v>303</v>
      </c>
      <c r="E69" s="3" t="s">
        <v>61</v>
      </c>
      <c r="F69" s="3" t="s">
        <v>205</v>
      </c>
      <c r="G69" s="3" t="s">
        <v>16</v>
      </c>
      <c r="H69" s="3"/>
      <c r="I69" s="3" t="s">
        <v>17</v>
      </c>
      <c r="J69" s="4"/>
    </row>
    <row r="70" spans="1:10">
      <c r="A70" s="3" t="s">
        <v>304</v>
      </c>
      <c r="B70" s="3" t="s">
        <v>305</v>
      </c>
      <c r="C70" s="3" t="s">
        <v>306</v>
      </c>
      <c r="D70" s="4" t="s">
        <v>307</v>
      </c>
      <c r="E70" s="3" t="s">
        <v>14</v>
      </c>
      <c r="F70" s="3" t="s">
        <v>15</v>
      </c>
      <c r="G70" s="3" t="s">
        <v>16</v>
      </c>
      <c r="H70" s="3"/>
      <c r="I70" s="3" t="s">
        <v>17</v>
      </c>
      <c r="J70" s="4"/>
    </row>
    <row r="71" spans="1:10">
      <c r="A71" s="3" t="s">
        <v>308</v>
      </c>
      <c r="B71" s="3" t="s">
        <v>309</v>
      </c>
      <c r="C71" s="3" t="s">
        <v>310</v>
      </c>
      <c r="D71" s="4" t="s">
        <v>311</v>
      </c>
      <c r="E71" s="3" t="s">
        <v>61</v>
      </c>
      <c r="F71" s="3" t="s">
        <v>223</v>
      </c>
      <c r="G71" s="3" t="s">
        <v>16</v>
      </c>
      <c r="H71" s="3"/>
      <c r="I71" s="3" t="s">
        <v>17</v>
      </c>
      <c r="J71" s="4"/>
    </row>
    <row r="72" spans="1:10">
      <c r="A72" s="3" t="s">
        <v>312</v>
      </c>
      <c r="B72" s="3" t="s">
        <v>313</v>
      </c>
      <c r="C72" s="3" t="s">
        <v>314</v>
      </c>
      <c r="D72" s="4" t="s">
        <v>315</v>
      </c>
      <c r="E72" s="3" t="s">
        <v>14</v>
      </c>
      <c r="F72" s="3" t="s">
        <v>15</v>
      </c>
      <c r="G72" s="3" t="s">
        <v>16</v>
      </c>
      <c r="H72" s="3"/>
      <c r="I72" s="3" t="s">
        <v>17</v>
      </c>
      <c r="J72" s="4"/>
    </row>
    <row r="73" spans="1:10">
      <c r="A73" s="3" t="s">
        <v>316</v>
      </c>
      <c r="B73" s="3" t="s">
        <v>317</v>
      </c>
      <c r="C73" s="3" t="s">
        <v>318</v>
      </c>
      <c r="D73" s="4" t="s">
        <v>319</v>
      </c>
      <c r="E73" s="3" t="s">
        <v>14</v>
      </c>
      <c r="F73" s="3" t="s">
        <v>15</v>
      </c>
      <c r="G73" s="3" t="s">
        <v>16</v>
      </c>
      <c r="H73" s="3"/>
      <c r="I73" s="3" t="s">
        <v>17</v>
      </c>
      <c r="J73" s="4"/>
    </row>
    <row r="74" spans="1:10">
      <c r="A74" s="3" t="s">
        <v>320</v>
      </c>
      <c r="B74" s="3" t="s">
        <v>321</v>
      </c>
      <c r="C74" s="3" t="s">
        <v>306</v>
      </c>
      <c r="D74" s="4" t="s">
        <v>322</v>
      </c>
      <c r="E74" s="3" t="s">
        <v>14</v>
      </c>
      <c r="F74" s="3" t="s">
        <v>323</v>
      </c>
      <c r="G74" s="3" t="s">
        <v>16</v>
      </c>
      <c r="H74" s="3"/>
      <c r="I74" s="3" t="s">
        <v>17</v>
      </c>
      <c r="J74" s="4"/>
    </row>
    <row r="75" spans="1:10" ht="28">
      <c r="A75" s="3" t="s">
        <v>324</v>
      </c>
      <c r="B75" s="3" t="s">
        <v>325</v>
      </c>
      <c r="C75" s="3" t="s">
        <v>326</v>
      </c>
      <c r="D75" s="4" t="s">
        <v>327</v>
      </c>
      <c r="E75" s="3" t="s">
        <v>14</v>
      </c>
      <c r="F75" s="3" t="s">
        <v>15</v>
      </c>
      <c r="G75" s="3" t="s">
        <v>16</v>
      </c>
      <c r="H75" s="3"/>
      <c r="I75" s="3" t="s">
        <v>17</v>
      </c>
      <c r="J75" s="4"/>
    </row>
    <row r="76" spans="1:10">
      <c r="A76" s="3" t="s">
        <v>328</v>
      </c>
      <c r="B76" s="3" t="s">
        <v>329</v>
      </c>
      <c r="C76" s="3" t="s">
        <v>326</v>
      </c>
      <c r="D76" s="4" t="s">
        <v>330</v>
      </c>
      <c r="E76" s="3" t="s">
        <v>14</v>
      </c>
      <c r="F76" s="3" t="s">
        <v>15</v>
      </c>
      <c r="G76" s="3" t="s">
        <v>16</v>
      </c>
      <c r="H76" s="3"/>
      <c r="I76" s="3" t="s">
        <v>17</v>
      </c>
      <c r="J76" s="4"/>
    </row>
    <row r="77" spans="1:10">
      <c r="A77" s="3" t="s">
        <v>331</v>
      </c>
      <c r="B77" s="3" t="s">
        <v>332</v>
      </c>
      <c r="C77" s="3" t="s">
        <v>306</v>
      </c>
      <c r="D77" s="4" t="s">
        <v>333</v>
      </c>
      <c r="E77" s="3" t="s">
        <v>14</v>
      </c>
      <c r="F77" s="3" t="s">
        <v>15</v>
      </c>
      <c r="G77" s="3" t="s">
        <v>16</v>
      </c>
      <c r="H77" s="3"/>
      <c r="I77" s="3" t="s">
        <v>17</v>
      </c>
      <c r="J77" s="4" t="s">
        <v>334</v>
      </c>
    </row>
    <row r="78" spans="1:10">
      <c r="A78" s="3" t="s">
        <v>335</v>
      </c>
      <c r="B78" s="3" t="s">
        <v>336</v>
      </c>
      <c r="C78" s="3" t="s">
        <v>337</v>
      </c>
      <c r="D78" s="4" t="s">
        <v>338</v>
      </c>
      <c r="E78" s="3" t="s">
        <v>14</v>
      </c>
      <c r="F78" s="3" t="s">
        <v>15</v>
      </c>
      <c r="G78" s="3" t="s">
        <v>16</v>
      </c>
      <c r="H78" s="3"/>
      <c r="I78" s="3" t="s">
        <v>17</v>
      </c>
      <c r="J78" s="4"/>
    </row>
    <row r="79" spans="1:10">
      <c r="A79" s="3" t="s">
        <v>339</v>
      </c>
      <c r="B79" s="3" t="s">
        <v>340</v>
      </c>
      <c r="C79" s="3" t="s">
        <v>341</v>
      </c>
      <c r="D79" s="4" t="s">
        <v>342</v>
      </c>
      <c r="E79" s="3" t="s">
        <v>14</v>
      </c>
      <c r="F79" s="3" t="s">
        <v>205</v>
      </c>
      <c r="G79" s="3" t="s">
        <v>16</v>
      </c>
      <c r="H79" s="3"/>
      <c r="I79" s="3" t="s">
        <v>17</v>
      </c>
      <c r="J79" s="4"/>
    </row>
    <row r="80" spans="1:10" ht="28">
      <c r="A80" s="3" t="s">
        <v>343</v>
      </c>
      <c r="B80" s="3" t="s">
        <v>344</v>
      </c>
      <c r="C80" s="3" t="s">
        <v>341</v>
      </c>
      <c r="D80" s="4" t="s">
        <v>345</v>
      </c>
      <c r="E80" s="3" t="s">
        <v>14</v>
      </c>
      <c r="F80" s="3" t="s">
        <v>15</v>
      </c>
      <c r="G80" s="3" t="s">
        <v>16</v>
      </c>
      <c r="H80" s="3"/>
      <c r="I80" s="3" t="s">
        <v>17</v>
      </c>
      <c r="J80" s="4" t="s">
        <v>346</v>
      </c>
    </row>
    <row r="81" spans="1:10">
      <c r="A81" s="3" t="s">
        <v>347</v>
      </c>
      <c r="B81" s="3" t="s">
        <v>348</v>
      </c>
      <c r="C81" s="3" t="s">
        <v>349</v>
      </c>
      <c r="D81" s="4" t="s">
        <v>350</v>
      </c>
      <c r="E81" s="3" t="s">
        <v>14</v>
      </c>
      <c r="F81" s="3" t="s">
        <v>15</v>
      </c>
      <c r="G81" s="3" t="s">
        <v>16</v>
      </c>
      <c r="H81" s="3"/>
      <c r="I81" s="3" t="s">
        <v>17</v>
      </c>
      <c r="J81" s="4"/>
    </row>
    <row r="82" spans="1:10">
      <c r="A82" s="3" t="s">
        <v>351</v>
      </c>
      <c r="B82" s="3" t="s">
        <v>352</v>
      </c>
      <c r="C82" s="3" t="s">
        <v>353</v>
      </c>
      <c r="D82" s="4" t="s">
        <v>354</v>
      </c>
      <c r="E82" s="3" t="s">
        <v>14</v>
      </c>
      <c r="F82" s="3" t="s">
        <v>15</v>
      </c>
      <c r="G82" s="3" t="s">
        <v>16</v>
      </c>
      <c r="H82" s="3"/>
      <c r="I82" s="3" t="s">
        <v>17</v>
      </c>
      <c r="J82" s="4"/>
    </row>
    <row r="83" spans="1:10">
      <c r="A83" s="3" t="s">
        <v>355</v>
      </c>
      <c r="B83" s="3" t="s">
        <v>356</v>
      </c>
      <c r="C83" s="3" t="s">
        <v>357</v>
      </c>
      <c r="D83" s="4" t="s">
        <v>358</v>
      </c>
      <c r="E83" s="3" t="s">
        <v>61</v>
      </c>
      <c r="F83" s="3" t="s">
        <v>15</v>
      </c>
      <c r="G83" s="3" t="s">
        <v>16</v>
      </c>
      <c r="H83" s="3"/>
      <c r="I83" s="3" t="s">
        <v>17</v>
      </c>
      <c r="J83" s="4"/>
    </row>
    <row r="84" spans="1:10">
      <c r="A84" s="3" t="s">
        <v>359</v>
      </c>
      <c r="B84" s="3" t="s">
        <v>360</v>
      </c>
      <c r="C84" s="3" t="s">
        <v>361</v>
      </c>
      <c r="D84" s="4" t="s">
        <v>362</v>
      </c>
      <c r="E84" s="3" t="s">
        <v>14</v>
      </c>
      <c r="F84" s="3" t="s">
        <v>223</v>
      </c>
      <c r="G84" s="3" t="s">
        <v>16</v>
      </c>
      <c r="H84" s="3"/>
      <c r="I84" s="3" t="s">
        <v>17</v>
      </c>
      <c r="J84" s="4"/>
    </row>
    <row r="85" spans="1:10">
      <c r="A85" s="3" t="s">
        <v>363</v>
      </c>
      <c r="B85" s="3" t="s">
        <v>364</v>
      </c>
      <c r="C85" s="3" t="s">
        <v>365</v>
      </c>
      <c r="D85" s="4" t="s">
        <v>366</v>
      </c>
      <c r="E85" s="3" t="s">
        <v>14</v>
      </c>
      <c r="F85" s="3" t="s">
        <v>15</v>
      </c>
      <c r="G85" s="3" t="s">
        <v>16</v>
      </c>
      <c r="H85" s="3"/>
      <c r="I85" s="3" t="s">
        <v>17</v>
      </c>
      <c r="J85" s="4"/>
    </row>
    <row r="86" spans="1:10">
      <c r="A86" s="3" t="s">
        <v>367</v>
      </c>
      <c r="B86" s="3" t="s">
        <v>368</v>
      </c>
      <c r="C86" s="3" t="s">
        <v>365</v>
      </c>
      <c r="D86" s="4" t="s">
        <v>369</v>
      </c>
      <c r="E86" s="3" t="s">
        <v>61</v>
      </c>
      <c r="F86" s="3" t="s">
        <v>205</v>
      </c>
      <c r="G86" s="3" t="s">
        <v>16</v>
      </c>
      <c r="H86" s="3"/>
      <c r="I86" s="3" t="s">
        <v>17</v>
      </c>
      <c r="J86" s="4"/>
    </row>
    <row r="87" spans="1:10" ht="28">
      <c r="A87" s="3" t="s">
        <v>370</v>
      </c>
      <c r="B87" s="3" t="s">
        <v>371</v>
      </c>
      <c r="C87" s="3" t="s">
        <v>372</v>
      </c>
      <c r="D87" s="4" t="s">
        <v>373</v>
      </c>
      <c r="E87" s="3" t="s">
        <v>374</v>
      </c>
      <c r="F87" s="3" t="s">
        <v>15</v>
      </c>
      <c r="G87" s="3" t="s">
        <v>16</v>
      </c>
      <c r="H87" s="3"/>
      <c r="I87" s="3" t="s">
        <v>17</v>
      </c>
      <c r="J87" s="4" t="s">
        <v>375</v>
      </c>
    </row>
    <row r="88" spans="1:10">
      <c r="A88" s="3" t="s">
        <v>376</v>
      </c>
      <c r="B88" s="3" t="s">
        <v>377</v>
      </c>
      <c r="C88" s="3" t="s">
        <v>378</v>
      </c>
      <c r="D88" s="4" t="s">
        <v>379</v>
      </c>
      <c r="E88" s="3" t="s">
        <v>14</v>
      </c>
      <c r="F88" s="3" t="s">
        <v>15</v>
      </c>
      <c r="G88" s="3" t="s">
        <v>16</v>
      </c>
      <c r="H88" s="3"/>
      <c r="I88" s="3" t="s">
        <v>17</v>
      </c>
      <c r="J88" s="4"/>
    </row>
    <row r="89" spans="1:10" ht="28">
      <c r="A89" s="3" t="s">
        <v>380</v>
      </c>
      <c r="B89" s="3" t="s">
        <v>381</v>
      </c>
      <c r="C89" s="3" t="s">
        <v>382</v>
      </c>
      <c r="D89" s="4" t="s">
        <v>383</v>
      </c>
      <c r="E89" s="3" t="s">
        <v>14</v>
      </c>
      <c r="F89" s="3" t="s">
        <v>15</v>
      </c>
      <c r="G89" s="3" t="s">
        <v>16</v>
      </c>
      <c r="H89" s="3"/>
      <c r="I89" s="3" t="s">
        <v>17</v>
      </c>
      <c r="J89" s="4"/>
    </row>
    <row r="90" spans="1:10">
      <c r="A90" s="3" t="s">
        <v>384</v>
      </c>
      <c r="B90" s="3" t="s">
        <v>385</v>
      </c>
      <c r="C90" s="3" t="s">
        <v>382</v>
      </c>
      <c r="D90" s="4" t="s">
        <v>386</v>
      </c>
      <c r="E90" s="3" t="s">
        <v>14</v>
      </c>
      <c r="F90" s="3" t="s">
        <v>387</v>
      </c>
      <c r="G90" s="3" t="s">
        <v>16</v>
      </c>
      <c r="H90" s="3"/>
      <c r="I90" s="3" t="s">
        <v>17</v>
      </c>
      <c r="J90" s="4" t="s">
        <v>388</v>
      </c>
    </row>
    <row r="91" spans="1:10">
      <c r="A91" s="3" t="s">
        <v>389</v>
      </c>
      <c r="B91" s="3" t="s">
        <v>390</v>
      </c>
      <c r="C91" s="3" t="s">
        <v>382</v>
      </c>
      <c r="D91" s="4" t="s">
        <v>391</v>
      </c>
      <c r="E91" s="3" t="s">
        <v>14</v>
      </c>
      <c r="F91" s="3" t="s">
        <v>15</v>
      </c>
      <c r="G91" s="3" t="s">
        <v>16</v>
      </c>
      <c r="H91" s="3"/>
      <c r="I91" s="3" t="s">
        <v>17</v>
      </c>
      <c r="J91" s="4" t="s">
        <v>392</v>
      </c>
    </row>
    <row r="92" spans="1:10">
      <c r="A92" s="3" t="s">
        <v>393</v>
      </c>
      <c r="B92" s="3" t="s">
        <v>394</v>
      </c>
      <c r="C92" s="3" t="s">
        <v>382</v>
      </c>
      <c r="D92" s="4" t="s">
        <v>395</v>
      </c>
      <c r="E92" s="3" t="s">
        <v>61</v>
      </c>
      <c r="F92" s="3" t="s">
        <v>396</v>
      </c>
      <c r="G92" s="3" t="s">
        <v>16</v>
      </c>
      <c r="H92" s="3"/>
      <c r="I92" s="3" t="s">
        <v>17</v>
      </c>
      <c r="J92" s="4"/>
    </row>
    <row r="93" spans="1:10" ht="28">
      <c r="A93" s="3" t="s">
        <v>397</v>
      </c>
      <c r="B93" s="3" t="s">
        <v>398</v>
      </c>
      <c r="C93" s="3" t="s">
        <v>399</v>
      </c>
      <c r="D93" s="4" t="s">
        <v>400</v>
      </c>
      <c r="E93" s="3" t="s">
        <v>14</v>
      </c>
      <c r="F93" s="3" t="s">
        <v>401</v>
      </c>
      <c r="G93" s="3" t="s">
        <v>16</v>
      </c>
      <c r="H93" s="3"/>
      <c r="I93" s="3" t="s">
        <v>402</v>
      </c>
      <c r="J93" s="4" t="s">
        <v>403</v>
      </c>
    </row>
    <row r="94" spans="1:10" ht="28">
      <c r="A94" s="3" t="s">
        <v>404</v>
      </c>
      <c r="B94" s="3" t="s">
        <v>405</v>
      </c>
      <c r="C94" s="3" t="s">
        <v>406</v>
      </c>
      <c r="D94" s="4" t="s">
        <v>407</v>
      </c>
      <c r="E94" s="3" t="s">
        <v>61</v>
      </c>
      <c r="F94" s="3" t="s">
        <v>131</v>
      </c>
      <c r="G94" s="3" t="s">
        <v>16</v>
      </c>
      <c r="H94" s="3"/>
      <c r="I94" s="3" t="s">
        <v>408</v>
      </c>
      <c r="J94" s="4" t="s">
        <v>409</v>
      </c>
    </row>
    <row r="95" spans="1:10">
      <c r="A95" s="3" t="s">
        <v>410</v>
      </c>
      <c r="B95" s="3" t="s">
        <v>411</v>
      </c>
      <c r="C95" s="3" t="s">
        <v>314</v>
      </c>
      <c r="D95" s="4" t="s">
        <v>412</v>
      </c>
      <c r="E95" s="3" t="s">
        <v>14</v>
      </c>
      <c r="F95" s="3" t="s">
        <v>323</v>
      </c>
      <c r="G95" s="3" t="s">
        <v>16</v>
      </c>
      <c r="H95" s="3"/>
      <c r="I95" s="3" t="s">
        <v>17</v>
      </c>
      <c r="J95" s="4" t="s">
        <v>413</v>
      </c>
    </row>
    <row r="96" spans="1:10">
      <c r="A96" s="3" t="s">
        <v>414</v>
      </c>
      <c r="B96" s="3" t="s">
        <v>415</v>
      </c>
      <c r="C96" s="3" t="s">
        <v>236</v>
      </c>
      <c r="D96" s="4" t="s">
        <v>416</v>
      </c>
      <c r="E96" s="3" t="s">
        <v>14</v>
      </c>
      <c r="F96" s="3" t="s">
        <v>417</v>
      </c>
      <c r="G96" s="3" t="s">
        <v>16</v>
      </c>
      <c r="H96" s="3"/>
      <c r="I96" s="3" t="s">
        <v>418</v>
      </c>
      <c r="J96" s="4" t="s">
        <v>419</v>
      </c>
    </row>
  </sheetData>
  <conditionalFormatting sqref="E2:E96">
    <cfRule type="containsText" dxfId="2" priority="1" operator="containsText" text="Upcoming"/>
    <cfRule type="containsText" dxfId="1" priority="2" operator="containsText" text="verify"/>
  </conditionalFormatting>
  <conditionalFormatting sqref="G2:G96">
    <cfRule type="containsText" dxfId="0" priority="3" operator="containsText" text="Not collected"/>
  </conditionalFormatting>
  <dataValidations count="2">
    <dataValidation type="list" sqref="E2:E96" xr:uid="{00000000-0002-0000-0000-000000000000}">
      <formula1>"Operating,Operating - verify,Operating - boundary check,Recently opened - verify,Upcoming,Needs verification"</formula1>
    </dataValidation>
    <dataValidation type="list" sqref="G2:G96" xr:uid="{00000000-0002-0000-0000-000001000000}">
      <formula1>"Not collected,Partial,Collected - unverified,Verified,Not applicable yet"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showGridLines="0" workbookViewId="0"/>
  </sheetViews>
  <sheetFormatPr baseColWidth="10" defaultColWidth="8.83203125" defaultRowHeight="14"/>
  <cols>
    <col min="1" max="1" width="29" customWidth="1"/>
    <col min="2" max="2" width="16" customWidth="1"/>
    <col min="3" max="3" width="4" customWidth="1"/>
    <col min="4" max="8" width="16" customWidth="1"/>
  </cols>
  <sheetData>
    <row r="1" spans="1:8">
      <c r="A1" s="9" t="s">
        <v>420</v>
      </c>
      <c r="B1" s="9"/>
      <c r="C1" s="9"/>
      <c r="D1" s="9"/>
      <c r="E1" s="9"/>
      <c r="F1" s="9"/>
      <c r="G1" s="9"/>
      <c r="H1" s="9"/>
    </row>
    <row r="2" spans="1:8">
      <c r="A2" s="9"/>
      <c r="B2" s="9"/>
      <c r="C2" s="9"/>
      <c r="D2" s="9"/>
      <c r="E2" s="9"/>
      <c r="F2" s="9"/>
      <c r="G2" s="9"/>
      <c r="H2" s="9"/>
    </row>
    <row r="4" spans="1:8" ht="15">
      <c r="A4" s="5" t="s">
        <v>421</v>
      </c>
      <c r="B4" s="5" t="s">
        <v>422</v>
      </c>
      <c r="D4" s="10" t="s">
        <v>423</v>
      </c>
      <c r="E4" s="10"/>
      <c r="F4" s="10"/>
      <c r="G4" s="10"/>
      <c r="H4" s="10"/>
    </row>
    <row r="5" spans="1:8" ht="21">
      <c r="A5" s="6" t="s">
        <v>424</v>
      </c>
      <c r="B5" s="7">
        <f>COUNTA('Mall Inventory'!A2:A96)</f>
        <v>95</v>
      </c>
      <c r="D5" s="11" t="s">
        <v>425</v>
      </c>
      <c r="E5" s="12"/>
      <c r="F5" s="12"/>
      <c r="G5" s="12"/>
      <c r="H5" s="13"/>
    </row>
    <row r="6" spans="1:8" ht="21">
      <c r="A6" s="6" t="s">
        <v>426</v>
      </c>
      <c r="B6" s="7">
        <f>COUNTA('Mall Inventory'!A2:A96)-COUNTIF('Mall Inventory'!E2:E96,"Upcoming")-COUNTIF('Mall Inventory'!E2:E96,"Needs verification")</f>
        <v>91</v>
      </c>
      <c r="D6" s="14"/>
      <c r="E6" s="15"/>
      <c r="F6" s="15"/>
      <c r="G6" s="15"/>
      <c r="H6" s="16"/>
    </row>
    <row r="7" spans="1:8" ht="21">
      <c r="A7" s="6" t="s">
        <v>83</v>
      </c>
      <c r="B7" s="7">
        <f>COUNTIF('Mall Inventory'!E2:E96,"Upcoming")</f>
        <v>3</v>
      </c>
      <c r="D7" s="14"/>
      <c r="E7" s="15"/>
      <c r="F7" s="15"/>
      <c r="G7" s="15"/>
      <c r="H7" s="16"/>
    </row>
    <row r="8" spans="1:8">
      <c r="D8" s="14"/>
      <c r="E8" s="15"/>
      <c r="F8" s="15"/>
      <c r="G8" s="15"/>
      <c r="H8" s="16"/>
    </row>
    <row r="9" spans="1:8">
      <c r="D9" s="17"/>
      <c r="E9" s="18"/>
      <c r="F9" s="18"/>
      <c r="G9" s="18"/>
      <c r="H9" s="19"/>
    </row>
    <row r="11" spans="1:8" ht="15">
      <c r="A11" s="20" t="s">
        <v>427</v>
      </c>
      <c r="B11" s="20"/>
      <c r="C11" s="20"/>
      <c r="D11" s="20"/>
      <c r="E11" s="20"/>
      <c r="F11" s="20"/>
      <c r="G11" s="20"/>
      <c r="H11" s="20"/>
    </row>
    <row r="12" spans="1:8">
      <c r="A12" s="21" t="s">
        <v>428</v>
      </c>
      <c r="B12" s="21"/>
      <c r="C12" s="21"/>
      <c r="D12" s="21"/>
      <c r="E12" s="21"/>
      <c r="F12" s="21"/>
      <c r="G12" s="21"/>
      <c r="H12" s="21"/>
    </row>
    <row r="13" spans="1:8">
      <c r="A13" s="21"/>
      <c r="B13" s="21"/>
      <c r="C13" s="21"/>
      <c r="D13" s="21"/>
      <c r="E13" s="21"/>
      <c r="F13" s="21"/>
      <c r="G13" s="21"/>
      <c r="H13" s="21"/>
    </row>
    <row r="14" spans="1:8">
      <c r="A14" s="21"/>
      <c r="B14" s="21"/>
      <c r="C14" s="21"/>
      <c r="D14" s="21"/>
      <c r="E14" s="21"/>
      <c r="F14" s="21"/>
      <c r="G14" s="21"/>
      <c r="H14" s="21"/>
    </row>
  </sheetData>
  <mergeCells count="5">
    <mergeCell ref="A1:H2"/>
    <mergeCell ref="D4:H4"/>
    <mergeCell ref="D5:H9"/>
    <mergeCell ref="A11:H11"/>
    <mergeCell ref="A12:H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showGridLines="0" workbookViewId="0"/>
  </sheetViews>
  <sheetFormatPr baseColWidth="10" defaultColWidth="8.83203125" defaultRowHeight="14"/>
  <cols>
    <col min="1" max="1" width="28" customWidth="1"/>
    <col min="2" max="2" width="48" customWidth="1"/>
    <col min="3" max="3" width="56" customWidth="1"/>
  </cols>
  <sheetData>
    <row r="1" spans="1:3" ht="32" customHeight="1">
      <c r="A1" s="1" t="s">
        <v>429</v>
      </c>
      <c r="B1" s="1" t="s">
        <v>430</v>
      </c>
      <c r="C1" s="1" t="s">
        <v>431</v>
      </c>
    </row>
    <row r="2" spans="1:3" ht="30">
      <c r="A2" s="8" t="s">
        <v>36</v>
      </c>
      <c r="B2" s="8" t="s">
        <v>432</v>
      </c>
      <c r="C2" s="8" t="s">
        <v>433</v>
      </c>
    </row>
    <row r="3" spans="1:3" ht="15">
      <c r="A3" s="8" t="s">
        <v>59</v>
      </c>
      <c r="B3" s="8" t="s">
        <v>434</v>
      </c>
      <c r="C3" s="8" t="s">
        <v>435</v>
      </c>
    </row>
    <row r="4" spans="1:3" ht="15">
      <c r="A4" s="8" t="s">
        <v>76</v>
      </c>
      <c r="B4" s="8" t="s">
        <v>436</v>
      </c>
      <c r="C4" s="8" t="s">
        <v>437</v>
      </c>
    </row>
    <row r="5" spans="1:3" ht="15">
      <c r="A5" s="8" t="s">
        <v>72</v>
      </c>
      <c r="B5" s="8" t="s">
        <v>71</v>
      </c>
      <c r="C5" s="8" t="s">
        <v>438</v>
      </c>
    </row>
    <row r="6" spans="1:3" ht="15">
      <c r="A6" s="8" t="s">
        <v>169</v>
      </c>
      <c r="B6" s="8" t="s">
        <v>439</v>
      </c>
      <c r="C6" s="8" t="s">
        <v>440</v>
      </c>
    </row>
    <row r="7" spans="1:3" ht="15">
      <c r="A7" s="8" t="s">
        <v>253</v>
      </c>
      <c r="B7" s="8" t="s">
        <v>441</v>
      </c>
      <c r="C7" s="8" t="s">
        <v>442</v>
      </c>
    </row>
    <row r="8" spans="1:3" ht="15">
      <c r="A8" s="8" t="s">
        <v>125</v>
      </c>
      <c r="B8" s="8" t="s">
        <v>443</v>
      </c>
      <c r="C8" s="8" t="s">
        <v>444</v>
      </c>
    </row>
    <row r="9" spans="1:3" ht="15">
      <c r="A9" s="8" t="s">
        <v>268</v>
      </c>
      <c r="B9" s="8" t="s">
        <v>445</v>
      </c>
      <c r="C9" s="8" t="s">
        <v>446</v>
      </c>
    </row>
    <row r="10" spans="1:3" ht="15">
      <c r="A10" s="8" t="s">
        <v>184</v>
      </c>
      <c r="B10" s="8" t="s">
        <v>447</v>
      </c>
      <c r="C10" s="8" t="s">
        <v>448</v>
      </c>
    </row>
    <row r="11" spans="1:3" ht="15">
      <c r="A11" s="8" t="s">
        <v>310</v>
      </c>
      <c r="B11" s="8" t="s">
        <v>449</v>
      </c>
      <c r="C11" s="8" t="s">
        <v>450</v>
      </c>
    </row>
    <row r="12" spans="1:3" ht="15">
      <c r="A12" s="8" t="s">
        <v>382</v>
      </c>
      <c r="B12" s="8" t="s">
        <v>451</v>
      </c>
      <c r="C12" s="8" t="s">
        <v>452</v>
      </c>
    </row>
    <row r="13" spans="1:3" ht="15">
      <c r="A13" s="8" t="s">
        <v>88</v>
      </c>
      <c r="B13" s="8" t="s">
        <v>453</v>
      </c>
      <c r="C13" s="8" t="s">
        <v>454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Mall Inventory</vt:lpstr>
      <vt:lpstr>Summary</vt:lpstr>
      <vt:lpstr>Area Aliases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Adani Kamal</cp:lastModifiedBy>
  <dcterms:modified xsi:type="dcterms:W3CDTF">2026-08-23T15:28:53Z</dcterms:modified>
</cp:coreProperties>
</file>